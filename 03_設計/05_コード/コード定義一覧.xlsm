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 Files\01. MELIP\02_SVN (Document)\03_設計\05_コード\"/>
    </mc:Choice>
  </mc:AlternateContent>
  <bookViews>
    <workbookView xWindow="0" yWindow="0" windowWidth="19200" windowHeight="11925"/>
  </bookViews>
  <sheets>
    <sheet name="コード一覧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L3" i="1"/>
  <c r="L4" i="1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G3" i="1"/>
  <c r="G4" i="1"/>
  <c r="G5" i="1"/>
  <c r="G7" i="1" s="1"/>
  <c r="G6" i="1"/>
  <c r="G8" i="1"/>
  <c r="G10" i="1"/>
  <c r="G12" i="1"/>
  <c r="G14" i="1"/>
  <c r="G26" i="1"/>
  <c r="G2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B3" i="1"/>
  <c r="B9" i="1" s="1"/>
  <c r="B4" i="1"/>
  <c r="B15" i="1" s="1"/>
  <c r="B5" i="1"/>
  <c r="B6" i="1"/>
  <c r="B7" i="1"/>
  <c r="B8" i="1"/>
  <c r="B10" i="1"/>
  <c r="B11" i="1"/>
  <c r="B12" i="1"/>
  <c r="B13" i="1"/>
  <c r="B14" i="1"/>
  <c r="B16" i="1"/>
  <c r="B17" i="1"/>
  <c r="B18" i="1"/>
  <c r="B20" i="1"/>
  <c r="B21" i="1"/>
  <c r="B22" i="1"/>
  <c r="B24" i="1"/>
  <c r="B26" i="1"/>
  <c r="B27" i="1"/>
  <c r="B28" i="1"/>
  <c r="B30" i="1"/>
  <c r="B31" i="1"/>
  <c r="B32" i="1"/>
  <c r="B33" i="1"/>
  <c r="B35" i="1"/>
  <c r="B37" i="1"/>
  <c r="B38" i="1"/>
  <c r="B39" i="1"/>
  <c r="B41" i="1"/>
  <c r="B42" i="1"/>
  <c r="B43" i="1"/>
  <c r="B44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3" i="1"/>
  <c r="B84" i="1"/>
  <c r="B85" i="1"/>
  <c r="B8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L5" i="1" l="1"/>
  <c r="L7" i="1"/>
  <c r="L6" i="1"/>
  <c r="G9" i="1"/>
  <c r="B19" i="1"/>
  <c r="L8" i="1" l="1"/>
  <c r="L9" i="1"/>
  <c r="G11" i="1"/>
  <c r="G13" i="1"/>
  <c r="B23" i="1"/>
  <c r="L10" i="1" l="1"/>
  <c r="L11" i="1"/>
  <c r="G15" i="1"/>
  <c r="B25" i="1"/>
  <c r="L12" i="1" l="1"/>
  <c r="G16" i="1"/>
  <c r="B29" i="1"/>
  <c r="B34" i="1"/>
  <c r="L13" i="1" l="1"/>
  <c r="L14" i="1"/>
  <c r="L15" i="1" s="1"/>
  <c r="G17" i="1"/>
  <c r="B36" i="1"/>
  <c r="B40" i="1"/>
  <c r="L16" i="1" l="1"/>
  <c r="G18" i="1"/>
  <c r="B61" i="1"/>
  <c r="B73" i="1" s="1"/>
  <c r="B82" i="1" s="1"/>
  <c r="B45" i="1"/>
  <c r="L17" i="1" l="1"/>
  <c r="G19" i="1"/>
  <c r="B86" i="1"/>
  <c r="L18" i="1" l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G20" i="1"/>
  <c r="G21" i="1" l="1"/>
  <c r="G22" i="1" l="1"/>
  <c r="G23" i="1" l="1"/>
  <c r="G24" i="1" l="1"/>
  <c r="G25" i="1" l="1"/>
  <c r="G27" i="1" l="1"/>
  <c r="G29" i="1" l="1"/>
  <c r="G30" i="1" l="1"/>
  <c r="G31" i="1" l="1"/>
  <c r="G32" i="1" l="1"/>
  <c r="G33" i="1" l="1"/>
  <c r="G34" i="1" l="1"/>
  <c r="G35" i="1" l="1"/>
  <c r="G36" i="1" l="1"/>
  <c r="G37" i="1" l="1"/>
  <c r="G38" i="1" l="1"/>
  <c r="G39" i="1" l="1"/>
  <c r="G40" i="1" l="1"/>
  <c r="G41" i="1" l="1"/>
  <c r="G42" i="1" l="1"/>
  <c r="G43" i="1" l="1"/>
  <c r="G44" i="1" l="1"/>
  <c r="G45" i="1" l="1"/>
  <c r="G46" i="1" l="1"/>
  <c r="G47" i="1" l="1"/>
  <c r="G48" i="1" l="1"/>
  <c r="G49" i="1" l="1"/>
  <c r="G50" i="1" l="1"/>
  <c r="G51" i="1" l="1"/>
  <c r="G52" i="1" l="1"/>
  <c r="G53" i="1" l="1"/>
  <c r="G54" i="1" l="1"/>
  <c r="G55" i="1" l="1"/>
  <c r="G56" i="1" l="1"/>
  <c r="G57" i="1" l="1"/>
  <c r="G58" i="1" l="1"/>
  <c r="G59" i="1" l="1"/>
  <c r="G60" i="1" l="1"/>
  <c r="G61" i="1" l="1"/>
  <c r="G62" i="1" l="1"/>
  <c r="G63" i="1" l="1"/>
  <c r="G64" i="1" l="1"/>
  <c r="G65" i="1" l="1"/>
  <c r="G66" i="1" l="1"/>
  <c r="G67" i="1" l="1"/>
  <c r="G68" i="1" l="1"/>
  <c r="G69" i="1" l="1"/>
  <c r="G70" i="1" l="1"/>
  <c r="G71" i="1" l="1"/>
  <c r="G72" i="1" l="1"/>
  <c r="G73" i="1" l="1"/>
  <c r="G74" i="1" l="1"/>
  <c r="G75" i="1" l="1"/>
  <c r="G76" i="1" l="1"/>
  <c r="G77" i="1" l="1"/>
  <c r="G78" i="1" l="1"/>
  <c r="G79" i="1" l="1"/>
  <c r="G80" i="1" l="1"/>
  <c r="G81" i="1" l="1"/>
  <c r="G82" i="1" l="1"/>
  <c r="G83" i="1" l="1"/>
  <c r="G84" i="1" l="1"/>
  <c r="G85" i="1" l="1"/>
  <c r="G86" i="1" l="1"/>
  <c r="G87" i="1" l="1"/>
</calcChain>
</file>

<file path=xl/sharedStrings.xml><?xml version="1.0" encoding="utf-8"?>
<sst xmlns="http://schemas.openxmlformats.org/spreadsheetml/2006/main" count="372" uniqueCount="268">
  <si>
    <t>コードグループ</t>
    <phoneticPr fontId="1"/>
  </si>
  <si>
    <t>エイリアス</t>
    <phoneticPr fontId="1"/>
  </si>
  <si>
    <t>名称</t>
    <rPh sb="0" eb="2">
      <t>メイショウ</t>
    </rPh>
    <phoneticPr fontId="1"/>
  </si>
  <si>
    <t>概要</t>
    <rPh sb="0" eb="2">
      <t>ガイヨウ</t>
    </rPh>
    <phoneticPr fontId="1"/>
  </si>
  <si>
    <t>ID</t>
    <phoneticPr fontId="1"/>
  </si>
  <si>
    <t>コード</t>
    <phoneticPr fontId="1"/>
  </si>
  <si>
    <t>コード名称</t>
    <rPh sb="3" eb="5">
      <t>メイショウ</t>
    </rPh>
    <phoneticPr fontId="1"/>
  </si>
  <si>
    <t>日本語</t>
    <rPh sb="0" eb="3">
      <t>ニホンゴ</t>
    </rPh>
    <phoneticPr fontId="1"/>
  </si>
  <si>
    <t>ja</t>
    <phoneticPr fontId="1"/>
  </si>
  <si>
    <t>en</t>
    <phoneticPr fontId="1"/>
  </si>
  <si>
    <t>common</t>
    <phoneticPr fontId="1"/>
  </si>
  <si>
    <t>No.</t>
    <phoneticPr fontId="1"/>
  </si>
  <si>
    <t>言語区分</t>
    <rPh sb="0" eb="2">
      <t>ゲンゴ</t>
    </rPh>
    <rPh sb="2" eb="4">
      <t>クブン</t>
    </rPh>
    <phoneticPr fontId="1"/>
  </si>
  <si>
    <t>Japanese</t>
    <phoneticPr fontId="1"/>
  </si>
  <si>
    <t>英語</t>
    <rPh sb="0" eb="2">
      <t>エイゴ</t>
    </rPh>
    <phoneticPr fontId="1"/>
  </si>
  <si>
    <t>English</t>
    <phoneticPr fontId="1"/>
  </si>
  <si>
    <t>共通</t>
    <rPh sb="0" eb="2">
      <t>キョウツウ</t>
    </rPh>
    <phoneticPr fontId="1"/>
  </si>
  <si>
    <t>Common</t>
    <phoneticPr fontId="1"/>
  </si>
  <si>
    <t>ステータス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</si>
  <si>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</si>
  <si>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</si>
  <si>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削除</t>
    <rPh sb="0" eb="2">
      <t>サクジョ</t>
    </rPh>
    <phoneticPr fontId="1"/>
  </si>
  <si>
    <t>Valid</t>
    <phoneticPr fontId="1"/>
  </si>
  <si>
    <t>Invalid</t>
    <phoneticPr fontId="1"/>
  </si>
  <si>
    <t>Deleted</t>
    <phoneticPr fontId="1"/>
  </si>
  <si>
    <t>Insert</t>
    <phoneticPr fontId="1"/>
  </si>
  <si>
    <t>言区</t>
    <rPh sb="0" eb="1">
      <t>ゲン</t>
    </rPh>
    <rPh sb="1" eb="2">
      <t>ク</t>
    </rPh>
    <phoneticPr fontId="1"/>
  </si>
  <si>
    <t>レイアウト種別</t>
    <rPh sb="5" eb="7">
      <t>シュベツ</t>
    </rPh>
    <phoneticPr fontId="1"/>
  </si>
  <si>
    <t>メニュー</t>
    <phoneticPr fontId="1"/>
  </si>
  <si>
    <t>地図</t>
    <rPh sb="0" eb="2">
      <t>チズ</t>
    </rPh>
    <phoneticPr fontId="1"/>
  </si>
  <si>
    <t>詳細</t>
    <rPh sb="0" eb="2">
      <t>ショウサイ</t>
    </rPh>
    <phoneticPr fontId="1"/>
  </si>
  <si>
    <t>一覧</t>
    <rPh sb="0" eb="2">
      <t>イチラン</t>
    </rPh>
    <phoneticPr fontId="1"/>
  </si>
  <si>
    <t>属性グループ種別</t>
    <rPh sb="0" eb="2">
      <t>ゾクセイ</t>
    </rPh>
    <rPh sb="6" eb="8">
      <t>シュベツ</t>
    </rPh>
    <phoneticPr fontId="1"/>
  </si>
  <si>
    <t>テキスト</t>
    <phoneticPr fontId="1"/>
  </si>
  <si>
    <t>公開ステータス</t>
    <rPh sb="0" eb="2">
      <t>コウカイ</t>
    </rPh>
    <phoneticPr fontId="1"/>
  </si>
  <si>
    <t>公開</t>
    <rPh sb="0" eb="2">
      <t>コウカイ</t>
    </rPh>
    <phoneticPr fontId="1"/>
  </si>
  <si>
    <t>非公開</t>
    <rPh sb="0" eb="3">
      <t>ヒコウカイ</t>
    </rPh>
    <phoneticPr fontId="1"/>
  </si>
  <si>
    <t>有無</t>
    <rPh sb="0" eb="2">
      <t>ウム</t>
    </rPh>
    <phoneticPr fontId="1"/>
  </si>
  <si>
    <t>has</t>
    <phoneticPr fontId="1"/>
  </si>
  <si>
    <t>有り</t>
    <rPh sb="0" eb="1">
      <t>ア</t>
    </rPh>
    <phoneticPr fontId="1"/>
  </si>
  <si>
    <t>Has</t>
    <phoneticPr fontId="1"/>
  </si>
  <si>
    <t>無し</t>
    <rPh sb="0" eb="1">
      <t>ナ</t>
    </rPh>
    <phoneticPr fontId="1"/>
  </si>
  <si>
    <t>Does not have</t>
    <phoneticPr fontId="1"/>
  </si>
  <si>
    <t>us</t>
    <phoneticPr fontId="1"/>
  </si>
  <si>
    <t>nohas</t>
    <phoneticPr fontId="1"/>
  </si>
  <si>
    <t>レイアウトオブジェクトタイプ</t>
    <phoneticPr fontId="1"/>
  </si>
  <si>
    <t>map</t>
    <phoneticPr fontId="1"/>
  </si>
  <si>
    <t>画像</t>
    <rPh sb="0" eb="2">
      <t>ガゾウ</t>
    </rPh>
    <phoneticPr fontId="1"/>
  </si>
  <si>
    <t>button</t>
    <phoneticPr fontId="1"/>
  </si>
  <si>
    <t>ボタン</t>
    <phoneticPr fontId="1"/>
  </si>
  <si>
    <t>動画</t>
    <rPh sb="0" eb="2">
      <t>ドウガ</t>
    </rPh>
    <phoneticPr fontId="1"/>
  </si>
  <si>
    <t>レイアウト多重度</t>
    <rPh sb="5" eb="8">
      <t>タジュウド</t>
    </rPh>
    <phoneticPr fontId="1"/>
  </si>
  <si>
    <t>シングル</t>
    <phoneticPr fontId="1"/>
  </si>
  <si>
    <t>マルチ</t>
    <phoneticPr fontId="1"/>
  </si>
  <si>
    <t>表示順</t>
    <rPh sb="0" eb="3">
      <t>ヒョウジジュン</t>
    </rPh>
    <phoneticPr fontId="1"/>
  </si>
  <si>
    <t>エンティティ</t>
    <phoneticPr fontId="1"/>
  </si>
  <si>
    <t>facgrp</t>
    <phoneticPr fontId="1"/>
  </si>
  <si>
    <t>facgrpln</t>
    <phoneticPr fontId="1"/>
  </si>
  <si>
    <t>施設</t>
    <rPh sb="0" eb="2">
      <t>シセツ</t>
    </rPh>
    <phoneticPr fontId="1"/>
  </si>
  <si>
    <t>地域</t>
    <rPh sb="0" eb="2">
      <t>チイキ</t>
    </rPh>
    <phoneticPr fontId="1"/>
  </si>
  <si>
    <t>施設グループ</t>
    <rPh sb="0" eb="2">
      <t>シセツ</t>
    </rPh>
    <phoneticPr fontId="1"/>
  </si>
  <si>
    <t>施設_施設グループ_リンク</t>
    <rPh sb="0" eb="2">
      <t>シセツ</t>
    </rPh>
    <rPh sb="3" eb="5">
      <t>シセツ</t>
    </rPh>
    <phoneticPr fontId="1"/>
  </si>
  <si>
    <t>画像パス</t>
    <rPh sb="0" eb="2">
      <t>ガゾウ</t>
    </rPh>
    <phoneticPr fontId="1"/>
  </si>
  <si>
    <t>動画パス</t>
    <rPh sb="0" eb="2">
      <t>ドウガ</t>
    </rPh>
    <phoneticPr fontId="1"/>
  </si>
  <si>
    <t>imgp</t>
    <phoneticPr fontId="1"/>
  </si>
  <si>
    <t>movp</t>
    <phoneticPr fontId="1"/>
  </si>
  <si>
    <t>Sts</t>
    <phoneticPr fontId="1"/>
  </si>
  <si>
    <t>LangDiv</t>
    <phoneticPr fontId="1"/>
  </si>
  <si>
    <t>LayoutType</t>
    <phoneticPr fontId="1"/>
  </si>
  <si>
    <t>AttGrpType</t>
    <phoneticPr fontId="1"/>
  </si>
  <si>
    <t>PublishSts</t>
    <phoneticPr fontId="1"/>
  </si>
  <si>
    <t>HasNotHave</t>
    <phoneticPr fontId="1"/>
  </si>
  <si>
    <t>LayoutObjType</t>
    <phoneticPr fontId="1"/>
  </si>
  <si>
    <t>LayoutMultiplicity</t>
    <phoneticPr fontId="1"/>
  </si>
  <si>
    <t>Entity</t>
    <phoneticPr fontId="1"/>
  </si>
  <si>
    <t>Valid</t>
    <phoneticPr fontId="1"/>
  </si>
  <si>
    <t>Invalid</t>
    <phoneticPr fontId="1"/>
  </si>
  <si>
    <t>Deleted</t>
    <phoneticPr fontId="1"/>
  </si>
  <si>
    <t>Common</t>
    <phoneticPr fontId="1"/>
  </si>
  <si>
    <t>Japanese</t>
    <phoneticPr fontId="1"/>
  </si>
  <si>
    <t>English</t>
    <phoneticPr fontId="1"/>
  </si>
  <si>
    <t>Menu</t>
    <phoneticPr fontId="1"/>
  </si>
  <si>
    <t>List</t>
    <phoneticPr fontId="1"/>
  </si>
  <si>
    <t>Map</t>
    <phoneticPr fontId="1"/>
  </si>
  <si>
    <t>Detail</t>
    <phoneticPr fontId="1"/>
  </si>
  <si>
    <t>Text</t>
    <phoneticPr fontId="1"/>
  </si>
  <si>
    <t>Code</t>
    <phoneticPr fontId="1"/>
  </si>
  <si>
    <t>ImagePath</t>
    <phoneticPr fontId="1"/>
  </si>
  <si>
    <t>MoviePath</t>
    <phoneticPr fontId="1"/>
  </si>
  <si>
    <t>Disclose</t>
    <phoneticPr fontId="1"/>
  </si>
  <si>
    <t>Close</t>
    <phoneticPr fontId="1"/>
  </si>
  <si>
    <t>DoesNotHave</t>
    <phoneticPr fontId="1"/>
  </si>
  <si>
    <t>Image</t>
    <phoneticPr fontId="1"/>
  </si>
  <si>
    <t>Movie</t>
    <phoneticPr fontId="1"/>
  </si>
  <si>
    <t>Button</t>
    <phoneticPr fontId="1"/>
  </si>
  <si>
    <t>Single</t>
    <phoneticPr fontId="1"/>
  </si>
  <si>
    <t>Multiple</t>
    <phoneticPr fontId="1"/>
  </si>
  <si>
    <t>Region</t>
    <phoneticPr fontId="1"/>
  </si>
  <si>
    <t>Facility</t>
    <phoneticPr fontId="1"/>
  </si>
  <si>
    <t>FacilityGroup</t>
    <phoneticPr fontId="1"/>
  </si>
  <si>
    <t>FacilityFacilityGroupLink</t>
    <phoneticPr fontId="1"/>
  </si>
  <si>
    <t>Purpose</t>
    <phoneticPr fontId="1"/>
  </si>
  <si>
    <t>目的</t>
    <rPh sb="0" eb="2">
      <t>モクテキ</t>
    </rPh>
    <phoneticPr fontId="1"/>
  </si>
  <si>
    <t>食べる</t>
    <rPh sb="0" eb="1">
      <t>タ</t>
    </rPh>
    <phoneticPr fontId="1"/>
  </si>
  <si>
    <t>ja</t>
  </si>
  <si>
    <t>買う</t>
    <rPh sb="0" eb="1">
      <t>カ</t>
    </rPh>
    <phoneticPr fontId="1"/>
  </si>
  <si>
    <t>泊まる</t>
    <rPh sb="0" eb="1">
      <t>ト</t>
    </rPh>
    <phoneticPr fontId="1"/>
  </si>
  <si>
    <t>イベント</t>
    <phoneticPr fontId="1"/>
  </si>
  <si>
    <t>eat</t>
    <phoneticPr fontId="1"/>
  </si>
  <si>
    <t>Eat</t>
    <phoneticPr fontId="1"/>
  </si>
  <si>
    <t>Shop</t>
    <phoneticPr fontId="1"/>
  </si>
  <si>
    <t>Stay</t>
    <phoneticPr fontId="1"/>
  </si>
  <si>
    <t>Event</t>
    <phoneticPr fontId="1"/>
  </si>
  <si>
    <t>shop</t>
    <phoneticPr fontId="1"/>
  </si>
  <si>
    <t>stay</t>
    <phoneticPr fontId="1"/>
  </si>
  <si>
    <t>event</t>
    <phoneticPr fontId="1"/>
  </si>
  <si>
    <t>EatGenre</t>
    <phoneticPr fontId="1"/>
  </si>
  <si>
    <t>食べるジャンル</t>
    <rPh sb="0" eb="1">
      <t>タ</t>
    </rPh>
    <phoneticPr fontId="1"/>
  </si>
  <si>
    <t>ShopGenre</t>
    <phoneticPr fontId="1"/>
  </si>
  <si>
    <t>買うジャンル</t>
    <rPh sb="0" eb="1">
      <t>カ</t>
    </rPh>
    <phoneticPr fontId="1"/>
  </si>
  <si>
    <t>遊園地・テーマパーク</t>
    <rPh sb="0" eb="3">
      <t>ユウエンチ</t>
    </rPh>
    <phoneticPr fontId="1"/>
  </si>
  <si>
    <t>StayGenre</t>
    <phoneticPr fontId="1"/>
  </si>
  <si>
    <t>泊まるジャンル</t>
    <rPh sb="0" eb="1">
      <t>ト</t>
    </rPh>
    <phoneticPr fontId="1"/>
  </si>
  <si>
    <t>その他</t>
  </si>
  <si>
    <t>その他</t>
    <rPh sb="2" eb="3">
      <t>タ</t>
    </rPh>
    <phoneticPr fontId="1"/>
  </si>
  <si>
    <t>ホテル</t>
    <phoneticPr fontId="1"/>
  </si>
  <si>
    <t>旅館</t>
    <rPh sb="0" eb="2">
      <t>リョカン</t>
    </rPh>
    <phoneticPr fontId="1"/>
  </si>
  <si>
    <t>カプセルホテル</t>
    <phoneticPr fontId="1"/>
  </si>
  <si>
    <t>EventGenre</t>
    <phoneticPr fontId="1"/>
  </si>
  <si>
    <t>イベントジャンル</t>
    <phoneticPr fontId="1"/>
  </si>
  <si>
    <t>Other</t>
  </si>
  <si>
    <t>Other</t>
    <phoneticPr fontId="1"/>
  </si>
  <si>
    <t>other</t>
  </si>
  <si>
    <t>other</t>
    <phoneticPr fontId="1"/>
  </si>
  <si>
    <t>valid</t>
    <phoneticPr fontId="1"/>
  </si>
  <si>
    <t>invalid</t>
    <phoneticPr fontId="1"/>
  </si>
  <si>
    <t>deleted</t>
    <phoneticPr fontId="1"/>
  </si>
  <si>
    <t>japanese</t>
    <phoneticPr fontId="1"/>
  </si>
  <si>
    <t>english</t>
    <phoneticPr fontId="1"/>
  </si>
  <si>
    <t>menu</t>
    <phoneticPr fontId="1"/>
  </si>
  <si>
    <t>list</t>
    <phoneticPr fontId="1"/>
  </si>
  <si>
    <t>detail</t>
    <phoneticPr fontId="1"/>
  </si>
  <si>
    <t>text</t>
    <phoneticPr fontId="1"/>
  </si>
  <si>
    <t>code</t>
    <phoneticPr fontId="1"/>
  </si>
  <si>
    <t>disclose</t>
    <phoneticPr fontId="1"/>
  </si>
  <si>
    <t>close</t>
    <phoneticPr fontId="1"/>
  </si>
  <si>
    <t>image</t>
    <phoneticPr fontId="1"/>
  </si>
  <si>
    <t>movie</t>
    <phoneticPr fontId="1"/>
  </si>
  <si>
    <t>single</t>
    <phoneticPr fontId="1"/>
  </si>
  <si>
    <t>multiple</t>
    <phoneticPr fontId="1"/>
  </si>
  <si>
    <t>region</t>
    <phoneticPr fontId="1"/>
  </si>
  <si>
    <t>facility</t>
    <phoneticPr fontId="1"/>
  </si>
  <si>
    <t>JapaneseFood</t>
    <phoneticPr fontId="1"/>
  </si>
  <si>
    <t>ChineseFood</t>
  </si>
  <si>
    <t>AsianFood</t>
  </si>
  <si>
    <t>AmericanFood</t>
  </si>
  <si>
    <t>ItalianFood</t>
  </si>
  <si>
    <t>FrenchFood</t>
  </si>
  <si>
    <t>ラーメン</t>
  </si>
  <si>
    <t>カフェ・スイーツ</t>
  </si>
  <si>
    <t>和食</t>
    <rPh sb="0" eb="2">
      <t>ワショク</t>
    </rPh>
    <phoneticPr fontId="1"/>
  </si>
  <si>
    <t>アメリカン</t>
  </si>
  <si>
    <t>イタリアン</t>
  </si>
  <si>
    <t>フレンチ</t>
  </si>
  <si>
    <t>MexicanFood</t>
  </si>
  <si>
    <t>KoreanFood</t>
  </si>
  <si>
    <t>メキシカン</t>
  </si>
  <si>
    <t>中華</t>
    <rPh sb="0" eb="2">
      <t>チュウカ</t>
    </rPh>
    <phoneticPr fontId="1"/>
  </si>
  <si>
    <t>韓国料理</t>
    <rPh sb="0" eb="2">
      <t>カンコク</t>
    </rPh>
    <rPh sb="2" eb="4">
      <t>リョウリ</t>
    </rPh>
    <phoneticPr fontId="1"/>
  </si>
  <si>
    <t>amecnfd</t>
  </si>
  <si>
    <t>frenchfd</t>
  </si>
  <si>
    <t>italnfd</t>
  </si>
  <si>
    <t>mexfd</t>
  </si>
  <si>
    <t>chnsfd</t>
  </si>
  <si>
    <t>koreanfd</t>
  </si>
  <si>
    <t>JapaneseBar</t>
    <phoneticPr fontId="1"/>
  </si>
  <si>
    <t>InternationalFood</t>
  </si>
  <si>
    <t>intnlfd</t>
  </si>
  <si>
    <t>asianfd</t>
  </si>
  <si>
    <t>europnfd</t>
  </si>
  <si>
    <t>EuropeanFood</t>
  </si>
  <si>
    <t>ramen</t>
  </si>
  <si>
    <t>Ramen</t>
  </si>
  <si>
    <t>CafeAndSweets</t>
  </si>
  <si>
    <t>cafsweet</t>
  </si>
  <si>
    <t>その他</t>
    <rPh sb="2" eb="3">
      <t>タ</t>
    </rPh>
    <phoneticPr fontId="1"/>
  </si>
  <si>
    <t>bbq</t>
  </si>
  <si>
    <t>Barbecue</t>
  </si>
  <si>
    <t>焼き肉</t>
    <rPh sb="0" eb="1">
      <t>ヤ</t>
    </rPh>
    <rPh sb="2" eb="3">
      <t>ニク</t>
    </rPh>
    <phoneticPr fontId="1"/>
  </si>
  <si>
    <t>居酒屋</t>
    <rPh sb="0" eb="3">
      <t>イザカヤ</t>
    </rPh>
    <phoneticPr fontId="1"/>
  </si>
  <si>
    <t>アジアン</t>
    <phoneticPr fontId="1"/>
  </si>
  <si>
    <t>ヨーロッパ料理</t>
    <rPh sb="5" eb="7">
      <t>リョウリ</t>
    </rPh>
    <phoneticPr fontId="1"/>
  </si>
  <si>
    <t>多国籍料理</t>
    <rPh sb="0" eb="3">
      <t>タコクセキ</t>
    </rPh>
    <rPh sb="3" eb="5">
      <t>リョウリ</t>
    </rPh>
    <phoneticPr fontId="1"/>
  </si>
  <si>
    <t>jpnsfd</t>
    <phoneticPr fontId="1"/>
  </si>
  <si>
    <t>jpnsbar</t>
    <phoneticPr fontId="1"/>
  </si>
  <si>
    <t>bar</t>
    <phoneticPr fontId="1"/>
  </si>
  <si>
    <t>Bar</t>
    <phoneticPr fontId="1"/>
  </si>
  <si>
    <t>バー</t>
    <phoneticPr fontId="1"/>
  </si>
  <si>
    <t>Books</t>
    <phoneticPr fontId="1"/>
  </si>
  <si>
    <t>books</t>
    <phoneticPr fontId="1"/>
  </si>
  <si>
    <t>DvdMusicGames</t>
    <phoneticPr fontId="1"/>
  </si>
  <si>
    <t>dvdmscgm</t>
    <phoneticPr fontId="1"/>
  </si>
  <si>
    <t>FoodDrinkAlchohol</t>
  </si>
  <si>
    <t>FashionWear</t>
    <phoneticPr fontId="1"/>
  </si>
  <si>
    <t>本・雑誌・コミック</t>
    <rPh sb="0" eb="1">
      <t>ホン</t>
    </rPh>
    <rPh sb="2" eb="4">
      <t>ザッシ</t>
    </rPh>
    <phoneticPr fontId="1"/>
  </si>
  <si>
    <t>DVD・音楽CD・ゲーム</t>
    <rPh sb="4" eb="6">
      <t>オンガク</t>
    </rPh>
    <phoneticPr fontId="1"/>
  </si>
  <si>
    <t>おもちゃ・ホビー</t>
    <phoneticPr fontId="1"/>
  </si>
  <si>
    <t>赤ちゃん用品</t>
    <rPh sb="0" eb="1">
      <t>アカ</t>
    </rPh>
    <rPh sb="4" eb="6">
      <t>ヨウヒン</t>
    </rPh>
    <phoneticPr fontId="1"/>
  </si>
  <si>
    <t>家電・パソコン・AV機器</t>
    <rPh sb="0" eb="2">
      <t>カデン</t>
    </rPh>
    <rPh sb="10" eb="12">
      <t>キキ</t>
    </rPh>
    <phoneticPr fontId="1"/>
  </si>
  <si>
    <t>ファッション・雑貨</t>
    <rPh sb="7" eb="9">
      <t>ザッカ</t>
    </rPh>
    <phoneticPr fontId="1"/>
  </si>
  <si>
    <t>薬品・健康・美容</t>
    <rPh sb="0" eb="2">
      <t>ヤクヒン</t>
    </rPh>
    <rPh sb="3" eb="5">
      <t>ケンコウ</t>
    </rPh>
    <rPh sb="6" eb="8">
      <t>ビヨウ</t>
    </rPh>
    <phoneticPr fontId="1"/>
  </si>
  <si>
    <t>おみやげ・民芸品</t>
    <rPh sb="5" eb="8">
      <t>ミンゲイヒン</t>
    </rPh>
    <phoneticPr fontId="1"/>
  </si>
  <si>
    <t>食料品・お酒</t>
    <rPh sb="0" eb="3">
      <t>ショクリョウヒン</t>
    </rPh>
    <rPh sb="5" eb="6">
      <t>サケ</t>
    </rPh>
    <phoneticPr fontId="1"/>
  </si>
  <si>
    <t>家具・キッチン雑貨</t>
    <rPh sb="0" eb="2">
      <t>カグ</t>
    </rPh>
    <rPh sb="7" eb="9">
      <t>ザッカ</t>
    </rPh>
    <phoneticPr fontId="1"/>
  </si>
  <si>
    <t>スポーツ・アウトドア</t>
    <phoneticPr fontId="1"/>
  </si>
  <si>
    <t>BabyWear</t>
    <phoneticPr fontId="1"/>
  </si>
  <si>
    <t>toyhobby</t>
    <phoneticPr fontId="1"/>
  </si>
  <si>
    <t>babywear</t>
    <phoneticPr fontId="1"/>
  </si>
  <si>
    <t>fddrkalc</t>
  </si>
  <si>
    <t>hlthbty</t>
    <phoneticPr fontId="1"/>
  </si>
  <si>
    <t>furnkitc</t>
    <phoneticPr fontId="1"/>
  </si>
  <si>
    <t>fashnwr</t>
    <phoneticPr fontId="1"/>
  </si>
  <si>
    <t>sprtotdr</t>
    <phoneticPr fontId="1"/>
  </si>
  <si>
    <t>eleccomp</t>
    <phoneticPr fontId="1"/>
  </si>
  <si>
    <t>Souvenir</t>
  </si>
  <si>
    <t>souvenir</t>
    <phoneticPr fontId="1"/>
  </si>
  <si>
    <t>ToyHobby</t>
    <phoneticPr fontId="1"/>
  </si>
  <si>
    <t>SportsOutdoors</t>
    <phoneticPr fontId="1"/>
  </si>
  <si>
    <t>DrugHeathBeauty</t>
    <phoneticPr fontId="1"/>
  </si>
  <si>
    <t>ElectronicsComputers</t>
    <phoneticPr fontId="1"/>
  </si>
  <si>
    <t>FurnitureKitchen</t>
    <phoneticPr fontId="1"/>
  </si>
  <si>
    <t>スポーツ施設</t>
    <rPh sb="4" eb="6">
      <t>シセツ</t>
    </rPh>
    <phoneticPr fontId="1"/>
  </si>
  <si>
    <t>ギャンブル</t>
    <phoneticPr fontId="1"/>
  </si>
  <si>
    <t>体験型施設</t>
    <rPh sb="0" eb="2">
      <t>タイケン</t>
    </rPh>
    <rPh sb="2" eb="3">
      <t>ガタ</t>
    </rPh>
    <rPh sb="3" eb="5">
      <t>シセツ</t>
    </rPh>
    <phoneticPr fontId="1"/>
  </si>
  <si>
    <t>公園・キャンプ・海水浴場</t>
    <rPh sb="0" eb="2">
      <t>コウエン</t>
    </rPh>
    <rPh sb="8" eb="12">
      <t>カイスイヨクジョウ</t>
    </rPh>
    <phoneticPr fontId="1"/>
  </si>
  <si>
    <t>エンターテイメント施設</t>
    <rPh sb="9" eb="11">
      <t>シセツ</t>
    </rPh>
    <phoneticPr fontId="1"/>
  </si>
  <si>
    <t>ThemeParks</t>
    <phoneticPr fontId="1"/>
  </si>
  <si>
    <t>thempark</t>
    <phoneticPr fontId="1"/>
  </si>
  <si>
    <t>ParkCampBeach</t>
    <phoneticPr fontId="1"/>
  </si>
  <si>
    <t>pkcmpbch</t>
    <phoneticPr fontId="1"/>
  </si>
  <si>
    <t>ExperienceActivities</t>
    <phoneticPr fontId="1"/>
  </si>
  <si>
    <t>sports</t>
    <phoneticPr fontId="1"/>
  </si>
  <si>
    <t>entrtmnt</t>
    <phoneticPr fontId="1"/>
  </si>
  <si>
    <t>Gamble</t>
    <phoneticPr fontId="1"/>
  </si>
  <si>
    <t>gamble</t>
    <phoneticPr fontId="1"/>
  </si>
  <si>
    <t>SportsFacility</t>
    <phoneticPr fontId="1"/>
  </si>
  <si>
    <t>EntertainmentFacility</t>
    <phoneticPr fontId="1"/>
  </si>
  <si>
    <t>exprence</t>
    <phoneticPr fontId="1"/>
  </si>
  <si>
    <t>CapsulHotel</t>
    <phoneticPr fontId="1"/>
  </si>
  <si>
    <t>capslhtl</t>
    <phoneticPr fontId="1"/>
  </si>
  <si>
    <t>Hotel</t>
    <phoneticPr fontId="1"/>
  </si>
  <si>
    <t>JapaneseHotel</t>
    <phoneticPr fontId="1"/>
  </si>
  <si>
    <t>jpnshtl</t>
    <phoneticPr fontId="1"/>
  </si>
  <si>
    <t>hotel</t>
    <phoneticPr fontId="1"/>
  </si>
  <si>
    <t>博物館・美術館</t>
    <rPh sb="0" eb="3">
      <t>ハクブツカン</t>
    </rPh>
    <rPh sb="4" eb="7">
      <t>ビジュツカン</t>
    </rPh>
    <phoneticPr fontId="1"/>
  </si>
  <si>
    <t>遊ぶ・見るジャンル</t>
    <rPh sb="0" eb="1">
      <t>アソ</t>
    </rPh>
    <rPh sb="3" eb="4">
      <t>ミ</t>
    </rPh>
    <phoneticPr fontId="1"/>
  </si>
  <si>
    <t>PlaySeeGenre</t>
    <phoneticPr fontId="1"/>
  </si>
  <si>
    <t>動物園・植物園・水族館</t>
    <rPh sb="0" eb="3">
      <t>ドウブツエン</t>
    </rPh>
    <phoneticPr fontId="1"/>
  </si>
  <si>
    <t>ZooGardenAquarium</t>
    <phoneticPr fontId="1"/>
  </si>
  <si>
    <t>zogaraqm</t>
    <phoneticPr fontId="1"/>
  </si>
  <si>
    <t>Museum</t>
    <phoneticPr fontId="1"/>
  </si>
  <si>
    <t>museum</t>
    <phoneticPr fontId="1"/>
  </si>
  <si>
    <t>PlaySee</t>
    <phoneticPr fontId="1"/>
  </si>
  <si>
    <t>playsee</t>
    <phoneticPr fontId="1"/>
  </si>
  <si>
    <t>遊ぶ・見る</t>
    <rPh sb="0" eb="1">
      <t>アソ</t>
    </rPh>
    <rPh sb="3" eb="4">
      <t>ミ</t>
    </rPh>
    <phoneticPr fontId="1"/>
  </si>
  <si>
    <t>お祭り・花火</t>
    <rPh sb="1" eb="2">
      <t>マツ</t>
    </rPh>
    <rPh sb="4" eb="6">
      <t>ハナビ</t>
    </rPh>
    <phoneticPr fontId="1"/>
  </si>
  <si>
    <t>FestivalFireworks</t>
    <phoneticPr fontId="1"/>
  </si>
  <si>
    <t>festfire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</si>
</sst>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2" xfId="0" quotePrefix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4" xfId="0" quotePrefix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標準" xfId="0" builtinId="0"/>
  </cellStyles>
  <dxfs count="6"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</dxfs>
  <tableStyles count="0" defaultTableStyle="TableStyleMedium2" defaultPivotStyle="PivotStyleLight16"/>
  <colors>
    <mruColors>
      <color rgb="FFCCFFCC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47625</xdr:rowOff>
        </xdr:from>
        <xdr:to>
          <xdr:col>18</xdr:col>
          <xdr:colOff>371475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書式やFunctionの初期設定処理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Right="0"/>
  </sheetPr>
  <dimension ref="A1:Q87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1.25" outlineLevelCol="1" x14ac:dyDescent="0.15"/>
  <cols>
    <col min="1" max="2" width="6.25" style="8" customWidth="1"/>
    <col min="3" max="4" width="12.5" style="8" customWidth="1"/>
    <col min="5" max="5" width="12.5" style="8" customWidth="1" collapsed="1"/>
    <col min="6" max="6" width="72.5" style="8" hidden="1" customWidth="1" outlineLevel="1"/>
    <col min="7" max="7" width="6.25" style="8" customWidth="1"/>
    <col min="8" max="8" width="9" style="8"/>
    <col min="9" max="9" width="18" style="8" customWidth="1"/>
    <col min="10" max="10" width="9" style="8" collapsed="1"/>
    <col min="11" max="11" width="69.125" style="8" hidden="1" customWidth="1" outlineLevel="1"/>
    <col min="12" max="13" width="6.25" style="8" customWidth="1"/>
    <col min="14" max="14" width="19.625" style="8" customWidth="1" collapsed="1"/>
    <col min="15" max="15" width="69.125" style="8" hidden="1" customWidth="1" outlineLevel="1"/>
    <col min="16" max="16384" width="9" style="6"/>
  </cols>
  <sheetData>
    <row r="1" spans="1:17" x14ac:dyDescent="0.15">
      <c r="A1" s="2" t="s">
        <v>11</v>
      </c>
      <c r="B1" s="13" t="s">
        <v>0</v>
      </c>
      <c r="C1" s="13"/>
      <c r="D1" s="13"/>
      <c r="E1" s="13"/>
      <c r="F1" s="13"/>
      <c r="G1" s="1" t="s">
        <v>5</v>
      </c>
      <c r="H1" s="1"/>
      <c r="I1" s="1"/>
      <c r="J1" s="1"/>
      <c r="K1" s="1"/>
      <c r="L1" s="1" t="s">
        <v>6</v>
      </c>
      <c r="M1" s="1"/>
      <c r="N1" s="1"/>
      <c r="O1" s="1"/>
      <c r="P1" s="12"/>
    </row>
    <row r="2" spans="1:17" x14ac:dyDescent="0.15">
      <c r="A2" s="3"/>
      <c r="B2" s="1" t="s">
        <v>4</v>
      </c>
      <c r="C2" s="1" t="s">
        <v>1</v>
      </c>
      <c r="D2" s="1" t="s">
        <v>2</v>
      </c>
      <c r="E2" s="1" t="s">
        <v>3</v>
      </c>
      <c r="F2" s="1" t="s">
        <v>25</v>
      </c>
      <c r="G2" s="1" t="s">
        <v>4</v>
      </c>
      <c r="H2" s="1" t="s">
        <v>5</v>
      </c>
      <c r="I2" s="1" t="s">
        <v>1</v>
      </c>
      <c r="J2" s="1" t="s">
        <v>54</v>
      </c>
      <c r="K2" s="1" t="s">
        <v>25</v>
      </c>
      <c r="L2" s="1" t="s">
        <v>4</v>
      </c>
      <c r="M2" s="1" t="s">
        <v>26</v>
      </c>
      <c r="N2" s="1" t="s">
        <v>2</v>
      </c>
      <c r="O2" s="1" t="s">
        <v>25</v>
      </c>
    </row>
    <row r="3" spans="1:17" x14ac:dyDescent="0.15">
      <c r="A3" s="5">
        <f t="shared" ref="A3:A34" si="0">ROW()-2</f>
        <v>1</v>
      </c>
      <c r="B3" s="10">
        <f>IF(ISBLANK($C3),"",MAX($B$1:$B2)+1)</f>
        <v>1</v>
      </c>
      <c r="C3" s="5" t="s">
        <v>66</v>
      </c>
      <c r="D3" s="5" t="s">
        <v>18</v>
      </c>
      <c r="E3" s="5"/>
      <c r="F3" s="10" t="str">
        <f t="shared" ref="F3:F34" si="1">IF(ISNUMBER($B3),"insert into M_CD_GRP values ("&amp;$B3&amp;", now(), 1, now(), 1, 0, '"&amp;$C3&amp;"', '"&amp;$D3&amp;"', '"&amp;$E3&amp;"');","")</f>
        <v>insert into M_CD_GRP values (1, now(), 1, now(), 1, 0, 'Sts', 'ステータス', '');</v>
      </c>
      <c r="G3" s="10">
        <f>IF(ISBLANK($H3),"",MAX($G$1:$G2)+1)</f>
        <v>1</v>
      </c>
      <c r="H3" s="7" t="s">
        <v>134</v>
      </c>
      <c r="I3" s="5" t="s">
        <v>75</v>
      </c>
      <c r="J3" s="5">
        <v>1</v>
      </c>
      <c r="K3" s="10" t="str">
        <f>IF(ISNUMBER($G3),"insert into M_CD_VAL values ("&amp;$G3&amp;", now(), 1, now(), 1, 0, '"&amp;MAX($B$3:$B3)&amp;"', '"&amp;$H3&amp;"', '"&amp;$I3&amp;"', "&amp;J3&amp;");","")</f>
        <v>insert into M_CD_VAL values (1, now(), 1, now(), 1, 0, '1', 'valid', 'Valid', 1);</v>
      </c>
      <c r="L3" s="10">
        <f>IF(ISBLANK($M3),"",MAX($L$1:$L2)+1)</f>
        <v>1</v>
      </c>
      <c r="M3" s="5" t="s">
        <v>8</v>
      </c>
      <c r="N3" s="5" t="s">
        <v>19</v>
      </c>
      <c r="O3" s="10" t="str">
        <f>IF(ISNUMBER($L3),"insert into M_CD_VAL_LANG values ("&amp;$L3&amp;", now(), 1, now(), 1, 0, '"&amp;MAX($G$3:$G3)&amp;"', '"&amp;$M3&amp;"', '"&amp;$N3&amp;"');","")</f>
        <v>insert into M_CD_VAL_LANG values (1, now(), 1, now(), 1, 0, '1', 'ja', '有効');</v>
      </c>
      <c r="P3" s="8"/>
      <c r="Q3" s="8"/>
    </row>
    <row r="4" spans="1:17" x14ac:dyDescent="0.15">
      <c r="A4" s="4">
        <f t="shared" si="0"/>
        <v>2</v>
      </c>
      <c r="B4" s="11" t="str">
        <f>IF(ISBLANK($C4),"",MAX($B$1:$B3)+1)</f>
        <v/>
      </c>
      <c r="C4" s="4"/>
      <c r="D4" s="4"/>
      <c r="E4" s="4"/>
      <c r="F4" s="11" t="str">
        <f t="shared" si="1"/>
        <v/>
      </c>
      <c r="G4" s="11" t="str">
        <f>IF(ISBLANK($H4),"",MAX($G$1:$G3)+1)</f>
        <v/>
      </c>
      <c r="H4" s="9"/>
      <c r="I4" s="4"/>
      <c r="J4" s="4"/>
      <c r="K4" s="11" t="str">
        <f>IF(ISNUMBER($G4),"insert into M_CD_VAL values ("&amp;$G4&amp;", now(), 1, now(), 1, 0, '"&amp;MAX($B$3:$B4)&amp;"', '"&amp;$H4&amp;"', '"&amp;$I4&amp;"', "&amp;J4&amp;");","")</f>
        <v/>
      </c>
      <c r="L4" s="11">
        <f>IF(ISBLANK($M4),"",MAX($L$1:$L3)+1)</f>
        <v>2</v>
      </c>
      <c r="M4" s="4" t="s">
        <v>9</v>
      </c>
      <c r="N4" s="4" t="s">
        <v>22</v>
      </c>
      <c r="O4" s="11" t="str">
        <f>IF(ISNUMBER($L4),"insert into M_CD_VAL_LANG values ("&amp;$L4&amp;", now(), 1, now(), 1, 0, '"&amp;MAX($G$3:$G4)&amp;"', '"&amp;$M4&amp;"', '"&amp;$N4&amp;"');","")</f>
        <v>insert into M_CD_VAL_LANG values (2, now(), 1, now(), 1, 0, '1', 'en', 'Valid');</v>
      </c>
      <c r="P4" s="8"/>
      <c r="Q4" s="8"/>
    </row>
    <row r="5" spans="1:17" x14ac:dyDescent="0.15">
      <c r="A5" s="4">
        <f t="shared" si="0"/>
        <v>3</v>
      </c>
      <c r="B5" s="11" t="str">
        <f>IF(ISBLANK($C5),"",MAX($B$1:$B4)+1)</f>
        <v/>
      </c>
      <c r="C5" s="4"/>
      <c r="D5" s="4"/>
      <c r="E5" s="4"/>
      <c r="F5" s="11" t="str">
        <f t="shared" si="1"/>
        <v/>
      </c>
      <c r="G5" s="11">
        <f>IF(ISBLANK($H5),"",MAX($G$1:$G4)+1)</f>
        <v>2</v>
      </c>
      <c r="H5" s="4" t="s">
        <v>135</v>
      </c>
      <c r="I5" s="4" t="s">
        <v>76</v>
      </c>
      <c r="J5" s="4">
        <v>2</v>
      </c>
      <c r="K5" s="11" t="str">
        <f>IF(ISNUMBER($G5),"insert into M_CD_VAL values ("&amp;$G5&amp;", now(), 1, now(), 1, 0, '"&amp;MAX($B$3:$B5)&amp;"', '"&amp;$H5&amp;"', '"&amp;$I5&amp;"', "&amp;J5&amp;");","")</f>
        <v>insert into M_CD_VAL values (2, now(), 1, now(), 1, 0, '1', 'invalid', 'Invalid', 2);</v>
      </c>
      <c r="L5" s="11">
        <f>IF(ISBLANK($M5),"",MAX($L$1:$L4)+1)</f>
        <v>3</v>
      </c>
      <c r="M5" s="4" t="s">
        <v>8</v>
      </c>
      <c r="N5" s="4" t="s">
        <v>20</v>
      </c>
      <c r="O5" s="11" t="str">
        <f>IF(ISNUMBER($L5),"insert into M_CD_VAL_LANG values ("&amp;$L5&amp;", now(), 1, now(), 1, 0, '"&amp;MAX($G$3:$G5)&amp;"', '"&amp;$M5&amp;"', '"&amp;$N5&amp;"');","")</f>
        <v>insert into M_CD_VAL_LANG values (3, now(), 1, now(), 1, 0, '2', 'ja', '無効');</v>
      </c>
      <c r="P5" s="8"/>
      <c r="Q5" s="8"/>
    </row>
    <row r="6" spans="1:17" x14ac:dyDescent="0.15">
      <c r="A6" s="4">
        <f t="shared" si="0"/>
        <v>4</v>
      </c>
      <c r="B6" s="11" t="str">
        <f>IF(ISBLANK($C6),"",MAX($B$1:$B5)+1)</f>
        <v/>
      </c>
      <c r="C6" s="4"/>
      <c r="D6" s="4"/>
      <c r="E6" s="4"/>
      <c r="F6" s="11" t="str">
        <f t="shared" si="1"/>
        <v/>
      </c>
      <c r="G6" s="11" t="str">
        <f>IF(ISBLANK($H6),"",MAX($G$1:$G5)+1)</f>
        <v/>
      </c>
      <c r="H6" s="4"/>
      <c r="I6" s="4"/>
      <c r="J6" s="4"/>
      <c r="K6" s="11" t="str">
        <f>IF(ISNUMBER($G6),"insert into M_CD_VAL values ("&amp;$G6&amp;", now(), 1, now(), 1, 0, '"&amp;MAX($B$3:$B6)&amp;"', '"&amp;$H6&amp;"', '"&amp;$I6&amp;"', "&amp;J6&amp;");","")</f>
        <v/>
      </c>
      <c r="L6" s="11">
        <f>IF(ISBLANK($M6),"",MAX($L$1:$L5)+1)</f>
        <v>4</v>
      </c>
      <c r="M6" s="4" t="s">
        <v>9</v>
      </c>
      <c r="N6" s="4" t="s">
        <v>23</v>
      </c>
      <c r="O6" s="11" t="str">
        <f>IF(ISNUMBER($L6),"insert into M_CD_VAL_LANG values ("&amp;$L6&amp;", now(), 1, now(), 1, 0, '"&amp;MAX($G$3:$G6)&amp;"', '"&amp;$M6&amp;"', '"&amp;$N6&amp;"');","")</f>
        <v>insert into M_CD_VAL_LANG values (4, now(), 1, now(), 1, 0, '2', 'en', 'Invalid');</v>
      </c>
      <c r="P6" s="8"/>
      <c r="Q6" s="8"/>
    </row>
    <row r="7" spans="1:17" x14ac:dyDescent="0.15">
      <c r="A7" s="4">
        <f t="shared" si="0"/>
        <v>5</v>
      </c>
      <c r="B7" s="11" t="str">
        <f>IF(ISBLANK($C7),"",MAX($B$1:$B6)+1)</f>
        <v/>
      </c>
      <c r="C7" s="4"/>
      <c r="D7" s="4"/>
      <c r="E7" s="4"/>
      <c r="F7" s="11" t="str">
        <f t="shared" si="1"/>
        <v/>
      </c>
      <c r="G7" s="11">
        <f>IF(ISBLANK($H7),"",MAX($G$1:$G6)+1)</f>
        <v>3</v>
      </c>
      <c r="H7" s="4" t="s">
        <v>136</v>
      </c>
      <c r="I7" s="4" t="s">
        <v>77</v>
      </c>
      <c r="J7" s="4">
        <v>3</v>
      </c>
      <c r="K7" s="11" t="str">
        <f>IF(ISNUMBER($G7),"insert into M_CD_VAL values ("&amp;$G7&amp;", now(), 1, now(), 1, 0, '"&amp;MAX($B$3:$B7)&amp;"', '"&amp;$H7&amp;"', '"&amp;$I7&amp;"', "&amp;J7&amp;");","")</f>
        <v>insert into M_CD_VAL values (3, now(), 1, now(), 1, 0, '1', 'deleted', 'Deleted', 3);</v>
      </c>
      <c r="L7" s="11">
        <f>IF(ISBLANK($M7),"",MAX($L$1:$L6)+1)</f>
        <v>5</v>
      </c>
      <c r="M7" s="4" t="s">
        <v>8</v>
      </c>
      <c r="N7" s="4" t="s">
        <v>21</v>
      </c>
      <c r="O7" s="11" t="str">
        <f>IF(ISNUMBER($L7),"insert into M_CD_VAL_LANG values ("&amp;$L7&amp;", now(), 1, now(), 1, 0, '"&amp;MAX($G$3:$G7)&amp;"', '"&amp;$M7&amp;"', '"&amp;$N7&amp;"');","")</f>
        <v>insert into M_CD_VAL_LANG values (5, now(), 1, now(), 1, 0, '3', 'ja', '削除');</v>
      </c>
      <c r="P7" s="8"/>
      <c r="Q7" s="8"/>
    </row>
    <row r="8" spans="1:17" x14ac:dyDescent="0.15">
      <c r="A8" s="4">
        <f t="shared" si="0"/>
        <v>6</v>
      </c>
      <c r="B8" s="11" t="str">
        <f>IF(ISBLANK($C8),"",MAX($B$1:$B7)+1)</f>
        <v/>
      </c>
      <c r="C8" s="4"/>
      <c r="D8" s="4"/>
      <c r="E8" s="4"/>
      <c r="F8" s="11" t="str">
        <f t="shared" si="1"/>
        <v/>
      </c>
      <c r="G8" s="11" t="str">
        <f>IF(ISBLANK($H8),"",MAX($G$1:$G7)+1)</f>
        <v/>
      </c>
      <c r="H8" s="4"/>
      <c r="I8" s="4"/>
      <c r="J8" s="4"/>
      <c r="K8" s="11" t="str">
        <f>IF(ISNUMBER($G8),"insert into M_CD_VAL values ("&amp;$G8&amp;", now(), 1, now(), 1, 0, '"&amp;MAX($B$3:$B8)&amp;"', '"&amp;$H8&amp;"', '"&amp;$I8&amp;"', "&amp;J8&amp;");","")</f>
        <v/>
      </c>
      <c r="L8" s="11">
        <f>IF(ISBLANK($M8),"",MAX($L$1:$L7)+1)</f>
        <v>6</v>
      </c>
      <c r="M8" s="4" t="s">
        <v>9</v>
      </c>
      <c r="N8" s="4" t="s">
        <v>24</v>
      </c>
      <c r="O8" s="11" t="str">
        <f>IF(ISNUMBER($L8),"insert into M_CD_VAL_LANG values ("&amp;$L8&amp;", now(), 1, now(), 1, 0, '"&amp;MAX($G$3:$G8)&amp;"', '"&amp;$M8&amp;"', '"&amp;$N8&amp;"');","")</f>
        <v>insert into M_CD_VAL_LANG values (6, now(), 1, now(), 1, 0, '3', 'en', 'Deleted');</v>
      </c>
      <c r="P8" s="8"/>
      <c r="Q8" s="8"/>
    </row>
    <row r="9" spans="1:17" x14ac:dyDescent="0.15">
      <c r="A9" s="4">
        <f t="shared" si="0"/>
        <v>7</v>
      </c>
      <c r="B9" s="11">
        <f>IF(ISBLANK($C9),"",MAX($B$1:$B8)+1)</f>
        <v>2</v>
      </c>
      <c r="C9" s="4" t="s">
        <v>67</v>
      </c>
      <c r="D9" s="4" t="s">
        <v>12</v>
      </c>
      <c r="E9" s="4"/>
      <c r="F9" s="11" t="str">
        <f t="shared" si="1"/>
        <v>insert into M_CD_GRP values (2, now(), 1, now(), 1, 0, 'LangDiv', '言語区分', '');</v>
      </c>
      <c r="G9" s="11">
        <f>IF(ISBLANK($H9),"",MAX($G$1:$G8)+1)</f>
        <v>4</v>
      </c>
      <c r="H9" s="4" t="s">
        <v>10</v>
      </c>
      <c r="I9" s="4" t="s">
        <v>78</v>
      </c>
      <c r="J9" s="4">
        <v>1</v>
      </c>
      <c r="K9" s="11" t="str">
        <f>IF(ISNUMBER($G9),"insert into M_CD_VAL values ("&amp;$G9&amp;", now(), 1, now(), 1, 0, '"&amp;MAX($B$3:$B9)&amp;"', '"&amp;$H9&amp;"', '"&amp;$I9&amp;"', "&amp;J9&amp;");","")</f>
        <v>insert into M_CD_VAL values (4, now(), 1, now(), 1, 0, '2', 'common', 'Common', 1);</v>
      </c>
      <c r="L9" s="11">
        <f>IF(ISBLANK($M9),"",MAX($L$1:$L8)+1)</f>
        <v>7</v>
      </c>
      <c r="M9" s="4" t="s">
        <v>8</v>
      </c>
      <c r="N9" s="4" t="s">
        <v>16</v>
      </c>
      <c r="O9" s="11" t="str">
        <f>IF(ISNUMBER($L9),"insert into M_CD_VAL_LANG values ("&amp;$L9&amp;", now(), 1, now(), 1, 0, '"&amp;MAX($G$3:$G9)&amp;"', '"&amp;$M9&amp;"', '"&amp;$N9&amp;"');","")</f>
        <v>insert into M_CD_VAL_LANG values (7, now(), 1, now(), 1, 0, '4', 'ja', '共通');</v>
      </c>
      <c r="P9" s="8"/>
      <c r="Q9" s="8"/>
    </row>
    <row r="10" spans="1:17" x14ac:dyDescent="0.15">
      <c r="A10" s="4">
        <f t="shared" si="0"/>
        <v>8</v>
      </c>
      <c r="B10" s="11" t="str">
        <f>IF(ISBLANK($C10),"",MAX($B$1:$B9)+1)</f>
        <v/>
      </c>
      <c r="C10" s="4"/>
      <c r="D10" s="4"/>
      <c r="E10" s="4"/>
      <c r="F10" s="11" t="str">
        <f t="shared" si="1"/>
        <v/>
      </c>
      <c r="G10" s="11" t="str">
        <f>IF(ISBLANK($H10),"",MAX($G$1:$G9)+1)</f>
        <v/>
      </c>
      <c r="H10" s="4"/>
      <c r="I10" s="4"/>
      <c r="J10" s="4"/>
      <c r="K10" s="11" t="str">
        <f>IF(ISNUMBER($G10),"insert into M_CD_VAL values ("&amp;$G10&amp;", now(), 1, now(), 1, 0, '"&amp;MAX($B$3:$B10)&amp;"', '"&amp;$H10&amp;"', '"&amp;$I10&amp;"', "&amp;J10&amp;");","")</f>
        <v/>
      </c>
      <c r="L10" s="11">
        <f>IF(ISBLANK($M10),"",MAX($L$1:$L9)+1)</f>
        <v>8</v>
      </c>
      <c r="M10" s="4" t="s">
        <v>9</v>
      </c>
      <c r="N10" s="4" t="s">
        <v>17</v>
      </c>
      <c r="O10" s="11" t="str">
        <f>IF(ISNUMBER($L10),"insert into M_CD_VAL_LANG values ("&amp;$L10&amp;", now(), 1, now(), 1, 0, '"&amp;MAX($G$3:$G10)&amp;"', '"&amp;$M10&amp;"', '"&amp;$N10&amp;"');","")</f>
        <v>insert into M_CD_VAL_LANG values (8, now(), 1, now(), 1, 0, '4', 'en', 'Common');</v>
      </c>
      <c r="P10" s="8"/>
      <c r="Q10" s="8"/>
    </row>
    <row r="11" spans="1:17" x14ac:dyDescent="0.15">
      <c r="A11" s="4">
        <f t="shared" si="0"/>
        <v>9</v>
      </c>
      <c r="B11" s="11" t="str">
        <f>IF(ISBLANK($C11),"",MAX($B$1:$B10)+1)</f>
        <v/>
      </c>
      <c r="C11" s="4"/>
      <c r="D11" s="4"/>
      <c r="E11" s="4"/>
      <c r="F11" s="11" t="str">
        <f t="shared" si="1"/>
        <v/>
      </c>
      <c r="G11" s="11">
        <f>IF(ISBLANK($H11),"",MAX($G$1:$G10)+1)</f>
        <v>5</v>
      </c>
      <c r="H11" s="4" t="s">
        <v>137</v>
      </c>
      <c r="I11" s="4" t="s">
        <v>79</v>
      </c>
      <c r="J11" s="4">
        <v>2</v>
      </c>
      <c r="K11" s="11" t="str">
        <f>IF(ISNUMBER($G11),"insert into M_CD_VAL values ("&amp;$G11&amp;", now(), 1, now(), 1, 0, '"&amp;MAX($B$3:$B11)&amp;"', '"&amp;$H11&amp;"', '"&amp;$I11&amp;"', "&amp;J11&amp;");","")</f>
        <v>insert into M_CD_VAL values (5, now(), 1, now(), 1, 0, '2', 'japanese', 'Japanese', 2);</v>
      </c>
      <c r="L11" s="11">
        <f>IF(ISBLANK($M11),"",MAX($L$1:$L10)+1)</f>
        <v>9</v>
      </c>
      <c r="M11" s="4" t="s">
        <v>8</v>
      </c>
      <c r="N11" s="4" t="s">
        <v>7</v>
      </c>
      <c r="O11" s="11" t="str">
        <f>IF(ISNUMBER($L11),"insert into M_CD_VAL_LANG values ("&amp;$L11&amp;", now(), 1, now(), 1, 0, '"&amp;MAX($G$3:$G11)&amp;"', '"&amp;$M11&amp;"', '"&amp;$N11&amp;"');","")</f>
        <v>insert into M_CD_VAL_LANG values (9, now(), 1, now(), 1, 0, '5', 'ja', '日本語');</v>
      </c>
      <c r="P11" s="8"/>
      <c r="Q11" s="8"/>
    </row>
    <row r="12" spans="1:17" x14ac:dyDescent="0.15">
      <c r="A12" s="4">
        <f t="shared" si="0"/>
        <v>10</v>
      </c>
      <c r="B12" s="11" t="str">
        <f>IF(ISBLANK($C12),"",MAX($B$1:$B11)+1)</f>
        <v/>
      </c>
      <c r="C12" s="4"/>
      <c r="D12" s="4"/>
      <c r="E12" s="4"/>
      <c r="F12" s="11" t="str">
        <f t="shared" si="1"/>
        <v/>
      </c>
      <c r="G12" s="11" t="str">
        <f>IF(ISBLANK($H12),"",MAX($G$1:$G11)+1)</f>
        <v/>
      </c>
      <c r="H12" s="4"/>
      <c r="I12" s="4"/>
      <c r="J12" s="4"/>
      <c r="K12" s="11" t="str">
        <f>IF(ISNUMBER($G12),"insert into M_CD_VAL values ("&amp;$G12&amp;", now(), 1, now(), 1, 0, '"&amp;MAX($B$3:$B12)&amp;"', '"&amp;$H12&amp;"', '"&amp;$I12&amp;"', "&amp;J12&amp;");","")</f>
        <v/>
      </c>
      <c r="L12" s="11">
        <f>IF(ISBLANK($M12),"",MAX($L$1:$L11)+1)</f>
        <v>10</v>
      </c>
      <c r="M12" s="4" t="s">
        <v>9</v>
      </c>
      <c r="N12" s="4" t="s">
        <v>13</v>
      </c>
      <c r="O12" s="11" t="str">
        <f>IF(ISNUMBER($L12),"insert into M_CD_VAL_LANG values ("&amp;$L12&amp;", now(), 1, now(), 1, 0, '"&amp;MAX($G$3:$G12)&amp;"', '"&amp;$M12&amp;"', '"&amp;$N12&amp;"');","")</f>
        <v>insert into M_CD_VAL_LANG values (10, now(), 1, now(), 1, 0, '5', 'en', 'Japanese');</v>
      </c>
      <c r="P12" s="8"/>
      <c r="Q12" s="8"/>
    </row>
    <row r="13" spans="1:17" x14ac:dyDescent="0.15">
      <c r="A13" s="4">
        <f t="shared" si="0"/>
        <v>11</v>
      </c>
      <c r="B13" s="11" t="str">
        <f>IF(ISBLANK($C13),"",MAX($B$1:$B12)+1)</f>
        <v/>
      </c>
      <c r="C13" s="4"/>
      <c r="D13" s="4"/>
      <c r="E13" s="4"/>
      <c r="F13" s="11" t="str">
        <f t="shared" si="1"/>
        <v/>
      </c>
      <c r="G13" s="11">
        <f>IF(ISBLANK($H13),"",MAX($G$1:$G12)+1)</f>
        <v>6</v>
      </c>
      <c r="H13" s="4" t="s">
        <v>138</v>
      </c>
      <c r="I13" s="4" t="s">
        <v>80</v>
      </c>
      <c r="J13" s="4">
        <v>3</v>
      </c>
      <c r="K13" s="11" t="str">
        <f>IF(ISNUMBER($G13),"insert into M_CD_VAL values ("&amp;$G13&amp;", now(), 1, now(), 1, 0, '"&amp;MAX($B$3:$B13)&amp;"', '"&amp;$H13&amp;"', '"&amp;$I13&amp;"', "&amp;J13&amp;");","")</f>
        <v>insert into M_CD_VAL values (6, now(), 1, now(), 1, 0, '2', 'english', 'English', 3);</v>
      </c>
      <c r="L13" s="11">
        <f>IF(ISBLANK($M13),"",MAX($L$1:$L12)+1)</f>
        <v>11</v>
      </c>
      <c r="M13" s="4" t="s">
        <v>8</v>
      </c>
      <c r="N13" s="4" t="s">
        <v>14</v>
      </c>
      <c r="O13" s="11" t="str">
        <f>IF(ISNUMBER($L13),"insert into M_CD_VAL_LANG values ("&amp;$L13&amp;", now(), 1, now(), 1, 0, '"&amp;MAX($G$3:$G13)&amp;"', '"&amp;$M13&amp;"', '"&amp;$N13&amp;"');","")</f>
        <v>insert into M_CD_VAL_LANG values (11, now(), 1, now(), 1, 0, '6', 'ja', '英語');</v>
      </c>
      <c r="P13" s="8"/>
      <c r="Q13" s="8"/>
    </row>
    <row r="14" spans="1:17" x14ac:dyDescent="0.15">
      <c r="A14" s="4">
        <f t="shared" si="0"/>
        <v>12</v>
      </c>
      <c r="B14" s="11" t="str">
        <f>IF(ISBLANK($C14),"",MAX($B$1:$B13)+1)</f>
        <v/>
      </c>
      <c r="C14" s="4"/>
      <c r="D14" s="4"/>
      <c r="E14" s="4"/>
      <c r="F14" s="11" t="str">
        <f t="shared" si="1"/>
        <v/>
      </c>
      <c r="G14" s="11" t="str">
        <f>IF(ISBLANK($H14),"",MAX($G$1:$G13)+1)</f>
        <v/>
      </c>
      <c r="H14" s="4"/>
      <c r="I14" s="4"/>
      <c r="J14" s="4"/>
      <c r="K14" s="11" t="str">
        <f>IF(ISNUMBER($G14),"insert into M_CD_VAL values ("&amp;$G14&amp;", now(), 1, now(), 1, 0, '"&amp;MAX($B$3:$B14)&amp;"', '"&amp;$H14&amp;"', '"&amp;$I14&amp;"', "&amp;J14&amp;");","")</f>
        <v/>
      </c>
      <c r="L14" s="11">
        <f>IF(ISBLANK($M14),"",MAX($L$1:$L13)+1)</f>
        <v>12</v>
      </c>
      <c r="M14" s="4" t="s">
        <v>9</v>
      </c>
      <c r="N14" s="4" t="s">
        <v>15</v>
      </c>
      <c r="O14" s="11" t="str">
        <f>IF(ISNUMBER($L14),"insert into M_CD_VAL_LANG values ("&amp;$L14&amp;", now(), 1, now(), 1, 0, '"&amp;MAX($G$3:$G14)&amp;"', '"&amp;$M14&amp;"', '"&amp;$N14&amp;"');","")</f>
        <v>insert into M_CD_VAL_LANG values (12, now(), 1, now(), 1, 0, '6', 'en', 'English');</v>
      </c>
      <c r="P14" s="8"/>
      <c r="Q14" s="8"/>
    </row>
    <row r="15" spans="1:17" x14ac:dyDescent="0.15">
      <c r="A15" s="4">
        <f t="shared" si="0"/>
        <v>13</v>
      </c>
      <c r="B15" s="11">
        <f>IF(ISBLANK($C15),"",MAX($B$1:$B14)+1)</f>
        <v>3</v>
      </c>
      <c r="C15" s="4" t="s">
        <v>68</v>
      </c>
      <c r="D15" s="4" t="s">
        <v>27</v>
      </c>
      <c r="E15" s="4"/>
      <c r="F15" s="11" t="str">
        <f t="shared" si="1"/>
        <v>insert into M_CD_GRP values (3, now(), 1, now(), 1, 0, 'LayoutType', 'レイアウト種別', '');</v>
      </c>
      <c r="G15" s="11">
        <f>IF(ISBLANK($H15),"",MAX($G$1:$G14)+1)</f>
        <v>7</v>
      </c>
      <c r="H15" s="9" t="s">
        <v>139</v>
      </c>
      <c r="I15" s="4" t="s">
        <v>81</v>
      </c>
      <c r="J15" s="4">
        <v>1</v>
      </c>
      <c r="K15" s="11" t="str">
        <f>IF(ISNUMBER($G15),"insert into M_CD_VAL values ("&amp;$G15&amp;", now(), 1, now(), 1, 0, '"&amp;MAX($B$3:$B15)&amp;"', '"&amp;$H15&amp;"', '"&amp;$I15&amp;"', "&amp;J15&amp;");","")</f>
        <v>insert into M_CD_VAL values (7, now(), 1, now(), 1, 0, '3', 'menu', 'Menu', 1);</v>
      </c>
      <c r="L15" s="11">
        <f>IF(ISBLANK($M15),"",MAX($L$1:$L14)+1)</f>
        <v>13</v>
      </c>
      <c r="M15" s="4" t="s">
        <v>8</v>
      </c>
      <c r="N15" s="4" t="s">
        <v>28</v>
      </c>
      <c r="O15" s="11" t="str">
        <f>IF(ISNUMBER($L15),"insert into M_CD_VAL_LANG values ("&amp;$L15&amp;", now(), 1, now(), 1, 0, '"&amp;MAX($G$3:$G15)&amp;"', '"&amp;$M15&amp;"', '"&amp;$N15&amp;"');","")</f>
        <v>insert into M_CD_VAL_LANG values (13, now(), 1, now(), 1, 0, '7', 'ja', 'メニュー');</v>
      </c>
      <c r="P15" s="8"/>
      <c r="Q15" s="8"/>
    </row>
    <row r="16" spans="1:17" x14ac:dyDescent="0.15">
      <c r="A16" s="4">
        <f t="shared" si="0"/>
        <v>14</v>
      </c>
      <c r="B16" s="11" t="str">
        <f>IF(ISBLANK($C16),"",MAX($B$1:$B15)+1)</f>
        <v/>
      </c>
      <c r="C16" s="4"/>
      <c r="D16" s="4"/>
      <c r="E16" s="4"/>
      <c r="F16" s="11" t="str">
        <f t="shared" si="1"/>
        <v/>
      </c>
      <c r="G16" s="11">
        <f>IF(ISBLANK($H16),"",MAX($G$1:$G15)+1)</f>
        <v>8</v>
      </c>
      <c r="H16" s="9" t="s">
        <v>140</v>
      </c>
      <c r="I16" s="4" t="s">
        <v>82</v>
      </c>
      <c r="J16" s="4">
        <v>2</v>
      </c>
      <c r="K16" s="11" t="str">
        <f>IF(ISNUMBER($G16),"insert into M_CD_VAL values ("&amp;$G16&amp;", now(), 1, now(), 1, 0, '"&amp;MAX($B$3:$B16)&amp;"', '"&amp;$H16&amp;"', '"&amp;$I16&amp;"', "&amp;J16&amp;");","")</f>
        <v>insert into M_CD_VAL values (8, now(), 1, now(), 1, 0, '3', 'list', 'List', 2);</v>
      </c>
      <c r="L16" s="11">
        <f>IF(ISBLANK($M16),"",MAX($L$1:$L15)+1)</f>
        <v>14</v>
      </c>
      <c r="M16" s="4" t="s">
        <v>8</v>
      </c>
      <c r="N16" s="4" t="s">
        <v>31</v>
      </c>
      <c r="O16" s="11" t="str">
        <f>IF(ISNUMBER($L16),"insert into M_CD_VAL_LANG values ("&amp;$L16&amp;", now(), 1, now(), 1, 0, '"&amp;MAX($G$3:$G16)&amp;"', '"&amp;$M16&amp;"', '"&amp;$N16&amp;"');","")</f>
        <v>insert into M_CD_VAL_LANG values (14, now(), 1, now(), 1, 0, '8', 'ja', '一覧');</v>
      </c>
      <c r="P16" s="8"/>
      <c r="Q16" s="8"/>
    </row>
    <row r="17" spans="1:17" x14ac:dyDescent="0.15">
      <c r="A17" s="4">
        <f t="shared" si="0"/>
        <v>15</v>
      </c>
      <c r="B17" s="11" t="str">
        <f>IF(ISBLANK($C17),"",MAX($B$1:$B16)+1)</f>
        <v/>
      </c>
      <c r="C17" s="4"/>
      <c r="D17" s="4"/>
      <c r="E17" s="4"/>
      <c r="F17" s="11" t="str">
        <f t="shared" si="1"/>
        <v/>
      </c>
      <c r="G17" s="11">
        <f>IF(ISBLANK($H17),"",MAX($G$1:$G16)+1)</f>
        <v>9</v>
      </c>
      <c r="H17" s="9" t="s">
        <v>46</v>
      </c>
      <c r="I17" s="4" t="s">
        <v>83</v>
      </c>
      <c r="J17" s="4">
        <v>3</v>
      </c>
      <c r="K17" s="11" t="str">
        <f>IF(ISNUMBER($G17),"insert into M_CD_VAL values ("&amp;$G17&amp;", now(), 1, now(), 1, 0, '"&amp;MAX($B$3:$B17)&amp;"', '"&amp;$H17&amp;"', '"&amp;$I17&amp;"', "&amp;J17&amp;");","")</f>
        <v>insert into M_CD_VAL values (9, now(), 1, now(), 1, 0, '3', 'map', 'Map', 3);</v>
      </c>
      <c r="L17" s="11">
        <f>IF(ISBLANK($M17),"",MAX($L$1:$L16)+1)</f>
        <v>15</v>
      </c>
      <c r="M17" s="4" t="s">
        <v>8</v>
      </c>
      <c r="N17" s="4" t="s">
        <v>29</v>
      </c>
      <c r="O17" s="11" t="str">
        <f>IF(ISNUMBER($L17),"insert into M_CD_VAL_LANG values ("&amp;$L17&amp;", now(), 1, now(), 1, 0, '"&amp;MAX($G$3:$G17)&amp;"', '"&amp;$M17&amp;"', '"&amp;$N17&amp;"');","")</f>
        <v>insert into M_CD_VAL_LANG values (15, now(), 1, now(), 1, 0, '9', 'ja', '地図');</v>
      </c>
      <c r="P17" s="8"/>
      <c r="Q17" s="8"/>
    </row>
    <row r="18" spans="1:17" x14ac:dyDescent="0.15">
      <c r="A18" s="4">
        <f t="shared" si="0"/>
        <v>16</v>
      </c>
      <c r="B18" s="11" t="str">
        <f>IF(ISBLANK($C18),"",MAX($B$1:$B17)+1)</f>
        <v/>
      </c>
      <c r="C18" s="4"/>
      <c r="D18" s="4"/>
      <c r="E18" s="4"/>
      <c r="F18" s="11" t="str">
        <f t="shared" si="1"/>
        <v/>
      </c>
      <c r="G18" s="11">
        <f>IF(ISBLANK($H18),"",MAX($G$1:$G17)+1)</f>
        <v>10</v>
      </c>
      <c r="H18" s="9" t="s">
        <v>141</v>
      </c>
      <c r="I18" s="4" t="s">
        <v>84</v>
      </c>
      <c r="J18" s="4">
        <v>4</v>
      </c>
      <c r="K18" s="11" t="str">
        <f>IF(ISNUMBER($G18),"insert into M_CD_VAL values ("&amp;$G18&amp;", now(), 1, now(), 1, 0, '"&amp;MAX($B$3:$B18)&amp;"', '"&amp;$H18&amp;"', '"&amp;$I18&amp;"', "&amp;J18&amp;");","")</f>
        <v>insert into M_CD_VAL values (10, now(), 1, now(), 1, 0, '3', 'detail', 'Detail', 4);</v>
      </c>
      <c r="L18" s="11">
        <f>IF(ISBLANK($M18),"",MAX($L$1:$L17)+1)</f>
        <v>16</v>
      </c>
      <c r="M18" s="4" t="s">
        <v>8</v>
      </c>
      <c r="N18" s="4" t="s">
        <v>30</v>
      </c>
      <c r="O18" s="11" t="str">
        <f>IF(ISNUMBER($L18),"insert into M_CD_VAL_LANG values ("&amp;$L18&amp;", now(), 1, now(), 1, 0, '"&amp;MAX($G$3:$G18)&amp;"', '"&amp;$M18&amp;"', '"&amp;$N18&amp;"');","")</f>
        <v>insert into M_CD_VAL_LANG values (16, now(), 1, now(), 1, 0, '10', 'ja', '詳細');</v>
      </c>
      <c r="P18" s="8"/>
      <c r="Q18" s="8"/>
    </row>
    <row r="19" spans="1:17" x14ac:dyDescent="0.15">
      <c r="A19" s="4">
        <f t="shared" si="0"/>
        <v>17</v>
      </c>
      <c r="B19" s="11">
        <f>IF(ISBLANK($C19),"",MAX($B$1:$B18)+1)</f>
        <v>4</v>
      </c>
      <c r="C19" s="4" t="s">
        <v>69</v>
      </c>
      <c r="D19" s="4" t="s">
        <v>32</v>
      </c>
      <c r="E19" s="4"/>
      <c r="F19" s="11" t="str">
        <f t="shared" si="1"/>
        <v>insert into M_CD_GRP values (4, now(), 1, now(), 1, 0, 'AttGrpType', '属性グループ種別', '');</v>
      </c>
      <c r="G19" s="11">
        <f>IF(ISBLANK($H19),"",MAX($G$1:$G18)+1)</f>
        <v>11</v>
      </c>
      <c r="H19" s="4" t="s">
        <v>142</v>
      </c>
      <c r="I19" s="4" t="s">
        <v>85</v>
      </c>
      <c r="J19" s="4">
        <v>1</v>
      </c>
      <c r="K19" s="11" t="str">
        <f>IF(ISNUMBER($G19),"insert into M_CD_VAL values ("&amp;$G19&amp;", now(), 1, now(), 1, 0, '"&amp;MAX($B$3:$B19)&amp;"', '"&amp;$H19&amp;"', '"&amp;$I19&amp;"', "&amp;J19&amp;");","")</f>
        <v>insert into M_CD_VAL values (11, now(), 1, now(), 1, 0, '4', 'text', 'Text', 1);</v>
      </c>
      <c r="L19" s="11">
        <f>IF(ISBLANK($M19),"",MAX($L$1:$L18)+1)</f>
        <v>17</v>
      </c>
      <c r="M19" s="4" t="s">
        <v>8</v>
      </c>
      <c r="N19" s="4" t="s">
        <v>33</v>
      </c>
      <c r="O19" s="11" t="str">
        <f>IF(ISNUMBER($L19),"insert into M_CD_VAL_LANG values ("&amp;$L19&amp;", now(), 1, now(), 1, 0, '"&amp;MAX($G$3:$G19)&amp;"', '"&amp;$M19&amp;"', '"&amp;$N19&amp;"');","")</f>
        <v>insert into M_CD_VAL_LANG values (17, now(), 1, now(), 1, 0, '11', 'ja', 'テキスト');</v>
      </c>
      <c r="P19" s="8"/>
      <c r="Q19" s="8"/>
    </row>
    <row r="20" spans="1:17" x14ac:dyDescent="0.15">
      <c r="A20" s="4">
        <f t="shared" si="0"/>
        <v>18</v>
      </c>
      <c r="B20" s="11" t="str">
        <f>IF(ISBLANK($C20),"",MAX($B$1:$B19)+1)</f>
        <v/>
      </c>
      <c r="C20" s="4"/>
      <c r="D20" s="4"/>
      <c r="E20" s="4"/>
      <c r="F20" s="11" t="str">
        <f t="shared" si="1"/>
        <v/>
      </c>
      <c r="G20" s="11">
        <f>IF(ISBLANK($H20),"",MAX($G$1:$G19)+1)</f>
        <v>12</v>
      </c>
      <c r="H20" s="4" t="s">
        <v>143</v>
      </c>
      <c r="I20" s="4" t="s">
        <v>86</v>
      </c>
      <c r="J20" s="4">
        <v>2</v>
      </c>
      <c r="K20" s="11" t="str">
        <f>IF(ISNUMBER($G20),"insert into M_CD_VAL values ("&amp;$G20&amp;", now(), 1, now(), 1, 0, '"&amp;MAX($B$3:$B20)&amp;"', '"&amp;$H20&amp;"', '"&amp;$I20&amp;"', "&amp;J20&amp;");","")</f>
        <v>insert into M_CD_VAL values (12, now(), 1, now(), 1, 0, '4', 'code', 'Code', 2);</v>
      </c>
      <c r="L20" s="11">
        <f>IF(ISBLANK($M20),"",MAX($L$1:$L19)+1)</f>
        <v>18</v>
      </c>
      <c r="M20" s="4" t="s">
        <v>8</v>
      </c>
      <c r="N20" s="4" t="s">
        <v>5</v>
      </c>
      <c r="O20" s="11" t="str">
        <f>IF(ISNUMBER($L20),"insert into M_CD_VAL_LANG values ("&amp;$L20&amp;", now(), 1, now(), 1, 0, '"&amp;MAX($G$3:$G20)&amp;"', '"&amp;$M20&amp;"', '"&amp;$N20&amp;"');","")</f>
        <v>insert into M_CD_VAL_LANG values (18, now(), 1, now(), 1, 0, '12', 'ja', 'コード');</v>
      </c>
      <c r="P20" s="8"/>
      <c r="Q20" s="8"/>
    </row>
    <row r="21" spans="1:17" x14ac:dyDescent="0.15">
      <c r="A21" s="4">
        <f t="shared" si="0"/>
        <v>19</v>
      </c>
      <c r="B21" s="11" t="str">
        <f>IF(ISBLANK($C21),"",MAX($B$1:$B20)+1)</f>
        <v/>
      </c>
      <c r="C21" s="4"/>
      <c r="D21" s="4"/>
      <c r="E21" s="4"/>
      <c r="F21" s="11" t="str">
        <f t="shared" si="1"/>
        <v/>
      </c>
      <c r="G21" s="11">
        <f>IF(ISBLANK($H21),"",MAX($G$1:$G20)+1)</f>
        <v>13</v>
      </c>
      <c r="H21" s="4" t="s">
        <v>64</v>
      </c>
      <c r="I21" s="4" t="s">
        <v>87</v>
      </c>
      <c r="J21" s="4">
        <v>3</v>
      </c>
      <c r="K21" s="11" t="str">
        <f>IF(ISNUMBER($G21),"insert into M_CD_VAL values ("&amp;$G21&amp;", now(), 1, now(), 1, 0, '"&amp;MAX($B$3:$B21)&amp;"', '"&amp;$H21&amp;"', '"&amp;$I21&amp;"', "&amp;J21&amp;");","")</f>
        <v>insert into M_CD_VAL values (13, now(), 1, now(), 1, 0, '4', 'imgp', 'ImagePath', 3);</v>
      </c>
      <c r="L21" s="11">
        <f>IF(ISBLANK($M21),"",MAX($L$1:$L20)+1)</f>
        <v>19</v>
      </c>
      <c r="M21" s="4" t="s">
        <v>8</v>
      </c>
      <c r="N21" s="4" t="s">
        <v>62</v>
      </c>
      <c r="O21" s="11" t="str">
        <f>IF(ISNUMBER($L21),"insert into M_CD_VAL_LANG values ("&amp;$L21&amp;", now(), 1, now(), 1, 0, '"&amp;MAX($G$3:$G21)&amp;"', '"&amp;$M21&amp;"', '"&amp;$N21&amp;"');","")</f>
        <v>insert into M_CD_VAL_LANG values (19, now(), 1, now(), 1, 0, '13', 'ja', '画像パス');</v>
      </c>
      <c r="P21" s="8"/>
      <c r="Q21" s="8"/>
    </row>
    <row r="22" spans="1:17" x14ac:dyDescent="0.15">
      <c r="A22" s="4">
        <f t="shared" si="0"/>
        <v>20</v>
      </c>
      <c r="B22" s="11" t="str">
        <f>IF(ISBLANK($C22),"",MAX($B$1:$B21)+1)</f>
        <v/>
      </c>
      <c r="C22" s="4"/>
      <c r="D22" s="4"/>
      <c r="E22" s="4"/>
      <c r="F22" s="11" t="str">
        <f t="shared" si="1"/>
        <v/>
      </c>
      <c r="G22" s="11">
        <f>IF(ISBLANK($H22),"",MAX($G$1:$G21)+1)</f>
        <v>14</v>
      </c>
      <c r="H22" s="4" t="s">
        <v>65</v>
      </c>
      <c r="I22" s="4" t="s">
        <v>88</v>
      </c>
      <c r="J22" s="4">
        <v>4</v>
      </c>
      <c r="K22" s="11" t="str">
        <f>IF(ISNUMBER($G22),"insert into M_CD_VAL values ("&amp;$G22&amp;", now(), 1, now(), 1, 0, '"&amp;MAX($B$3:$B22)&amp;"', '"&amp;$H22&amp;"', '"&amp;$I22&amp;"', "&amp;J22&amp;");","")</f>
        <v>insert into M_CD_VAL values (14, now(), 1, now(), 1, 0, '4', 'movp', 'MoviePath', 4);</v>
      </c>
      <c r="L22" s="11">
        <f>IF(ISBLANK($M22),"",MAX($L$1:$L21)+1)</f>
        <v>20</v>
      </c>
      <c r="M22" s="4" t="s">
        <v>8</v>
      </c>
      <c r="N22" s="4" t="s">
        <v>63</v>
      </c>
      <c r="O22" s="11" t="str">
        <f>IF(ISNUMBER($L22),"insert into M_CD_VAL_LANG values ("&amp;$L22&amp;", now(), 1, now(), 1, 0, '"&amp;MAX($G$3:$G22)&amp;"', '"&amp;$M22&amp;"', '"&amp;$N22&amp;"');","")</f>
        <v>insert into M_CD_VAL_LANG values (20, now(), 1, now(), 1, 0, '14', 'ja', '動画パス');</v>
      </c>
      <c r="P22" s="8"/>
      <c r="Q22" s="8"/>
    </row>
    <row r="23" spans="1:17" x14ac:dyDescent="0.15">
      <c r="A23" s="4">
        <f t="shared" si="0"/>
        <v>21</v>
      </c>
      <c r="B23" s="11">
        <f>IF(ISBLANK($C23),"",MAX($B$1:$B22)+1)</f>
        <v>5</v>
      </c>
      <c r="C23" s="4" t="s">
        <v>70</v>
      </c>
      <c r="D23" s="4" t="s">
        <v>34</v>
      </c>
      <c r="E23" s="4"/>
      <c r="F23" s="11" t="str">
        <f t="shared" si="1"/>
        <v>insert into M_CD_GRP values (5, now(), 1, now(), 1, 0, 'PublishSts', '公開ステータス', '');</v>
      </c>
      <c r="G23" s="11">
        <f>IF(ISBLANK($H23),"",MAX($G$1:$G22)+1)</f>
        <v>15</v>
      </c>
      <c r="H23" s="4" t="s">
        <v>144</v>
      </c>
      <c r="I23" s="4" t="s">
        <v>89</v>
      </c>
      <c r="J23" s="4">
        <v>1</v>
      </c>
      <c r="K23" s="11" t="str">
        <f>IF(ISNUMBER($G23),"insert into M_CD_VAL values ("&amp;$G23&amp;", now(), 1, now(), 1, 0, '"&amp;MAX($B$3:$B23)&amp;"', '"&amp;$H23&amp;"', '"&amp;$I23&amp;"', "&amp;J23&amp;");","")</f>
        <v>insert into M_CD_VAL values (15, now(), 1, now(), 1, 0, '5', 'disclose', 'Disclose', 1);</v>
      </c>
      <c r="L23" s="11">
        <f>IF(ISBLANK($M23),"",MAX($L$1:$L22)+1)</f>
        <v>21</v>
      </c>
      <c r="M23" s="4" t="s">
        <v>8</v>
      </c>
      <c r="N23" s="4" t="s">
        <v>35</v>
      </c>
      <c r="O23" s="11" t="str">
        <f>IF(ISNUMBER($L23),"insert into M_CD_VAL_LANG values ("&amp;$L23&amp;", now(), 1, now(), 1, 0, '"&amp;MAX($G$3:$G23)&amp;"', '"&amp;$M23&amp;"', '"&amp;$N23&amp;"');","")</f>
        <v>insert into M_CD_VAL_LANG values (21, now(), 1, now(), 1, 0, '15', 'ja', '公開');</v>
      </c>
      <c r="P23" s="8"/>
      <c r="Q23" s="8"/>
    </row>
    <row r="24" spans="1:17" x14ac:dyDescent="0.15">
      <c r="A24" s="4">
        <f t="shared" si="0"/>
        <v>22</v>
      </c>
      <c r="B24" s="11" t="str">
        <f>IF(ISBLANK($C24),"",MAX($B$1:$B23)+1)</f>
        <v/>
      </c>
      <c r="C24" s="4"/>
      <c r="D24" s="4"/>
      <c r="E24" s="4"/>
      <c r="F24" s="11" t="str">
        <f t="shared" si="1"/>
        <v/>
      </c>
      <c r="G24" s="11">
        <f>IF(ISBLANK($H24),"",MAX($G$1:$G23)+1)</f>
        <v>16</v>
      </c>
      <c r="H24" s="4" t="s">
        <v>145</v>
      </c>
      <c r="I24" s="4" t="s">
        <v>90</v>
      </c>
      <c r="J24" s="4">
        <v>2</v>
      </c>
      <c r="K24" s="11" t="str">
        <f>IF(ISNUMBER($G24),"insert into M_CD_VAL values ("&amp;$G24&amp;", now(), 1, now(), 1, 0, '"&amp;MAX($B$3:$B24)&amp;"', '"&amp;$H24&amp;"', '"&amp;$I24&amp;"', "&amp;J24&amp;");","")</f>
        <v>insert into M_CD_VAL values (16, now(), 1, now(), 1, 0, '5', 'close', 'Close', 2);</v>
      </c>
      <c r="L24" s="11">
        <f>IF(ISBLANK($M24),"",MAX($L$1:$L23)+1)</f>
        <v>22</v>
      </c>
      <c r="M24" s="4" t="s">
        <v>8</v>
      </c>
      <c r="N24" s="4" t="s">
        <v>36</v>
      </c>
      <c r="O24" s="11" t="str">
        <f>IF(ISNUMBER($L24),"insert into M_CD_VAL_LANG values ("&amp;$L24&amp;", now(), 1, now(), 1, 0, '"&amp;MAX($G$3:$G24)&amp;"', '"&amp;$M24&amp;"', '"&amp;$N24&amp;"');","")</f>
        <v>insert into M_CD_VAL_LANG values (22, now(), 1, now(), 1, 0, '16', 'ja', '非公開');</v>
      </c>
      <c r="P24" s="8"/>
      <c r="Q24" s="8"/>
    </row>
    <row r="25" spans="1:17" x14ac:dyDescent="0.15">
      <c r="A25" s="4">
        <f t="shared" si="0"/>
        <v>23</v>
      </c>
      <c r="B25" s="11">
        <f>IF(ISBLANK($C25),"",MAX($B$1:$B24)+1)</f>
        <v>6</v>
      </c>
      <c r="C25" s="4" t="s">
        <v>71</v>
      </c>
      <c r="D25" s="4" t="s">
        <v>37</v>
      </c>
      <c r="E25" s="4"/>
      <c r="F25" s="11" t="str">
        <f t="shared" si="1"/>
        <v>insert into M_CD_GRP values (6, now(), 1, now(), 1, 0, 'HasNotHave', '有無', '');</v>
      </c>
      <c r="G25" s="11">
        <f>IF(ISBLANK($H25),"",MAX($G$1:$G24)+1)</f>
        <v>17</v>
      </c>
      <c r="H25" s="4" t="s">
        <v>38</v>
      </c>
      <c r="I25" s="4" t="s">
        <v>40</v>
      </c>
      <c r="J25" s="4">
        <v>1</v>
      </c>
      <c r="K25" s="11" t="str">
        <f>IF(ISNUMBER($G25),"insert into M_CD_VAL values ("&amp;$G25&amp;", now(), 1, now(), 1, 0, '"&amp;MAX($B$3:$B25)&amp;"', '"&amp;$H25&amp;"', '"&amp;$I25&amp;"', "&amp;J25&amp;");","")</f>
        <v>insert into M_CD_VAL values (17, now(), 1, now(), 1, 0, '6', 'has', 'Has', 1);</v>
      </c>
      <c r="L25" s="11">
        <f>IF(ISBLANK($M25),"",MAX($L$1:$L24)+1)</f>
        <v>23</v>
      </c>
      <c r="M25" s="4" t="s">
        <v>8</v>
      </c>
      <c r="N25" s="4" t="s">
        <v>39</v>
      </c>
      <c r="O25" s="11" t="str">
        <f>IF(ISNUMBER($L25),"insert into M_CD_VAL_LANG values ("&amp;$L25&amp;", now(), 1, now(), 1, 0, '"&amp;MAX($G$3:$G25)&amp;"', '"&amp;$M25&amp;"', '"&amp;$N25&amp;"');","")</f>
        <v>insert into M_CD_VAL_LANG values (23, now(), 1, now(), 1, 0, '17', 'ja', '有り');</v>
      </c>
      <c r="P25" s="8"/>
      <c r="Q25" s="8"/>
    </row>
    <row r="26" spans="1:17" x14ac:dyDescent="0.15">
      <c r="A26" s="4">
        <f t="shared" si="0"/>
        <v>24</v>
      </c>
      <c r="B26" s="11" t="str">
        <f>IF(ISBLANK($C26),"",MAX($B$1:$B25)+1)</f>
        <v/>
      </c>
      <c r="C26" s="4"/>
      <c r="D26" s="4"/>
      <c r="E26" s="4"/>
      <c r="F26" s="11" t="str">
        <f t="shared" si="1"/>
        <v/>
      </c>
      <c r="G26" s="11" t="str">
        <f>IF(ISBLANK($H26),"",MAX($G$1:$G25)+1)</f>
        <v/>
      </c>
      <c r="H26" s="4"/>
      <c r="I26" s="4"/>
      <c r="J26" s="4"/>
      <c r="K26" s="11" t="str">
        <f>IF(ISNUMBER($G26),"insert into M_CD_VAL values ("&amp;$G26&amp;", now(), 1, now(), 1, 0, '"&amp;MAX($B$3:$B26)&amp;"', '"&amp;$H26&amp;"', '"&amp;$I26&amp;"', "&amp;J26&amp;");","")</f>
        <v/>
      </c>
      <c r="L26" s="11">
        <f>IF(ISBLANK($M26),"",MAX($L$1:$L25)+1)</f>
        <v>24</v>
      </c>
      <c r="M26" s="4" t="s">
        <v>43</v>
      </c>
      <c r="N26" s="4" t="s">
        <v>40</v>
      </c>
      <c r="O26" s="11" t="str">
        <f>IF(ISNUMBER($L26),"insert into M_CD_VAL_LANG values ("&amp;$L26&amp;", now(), 1, now(), 1, 0, '"&amp;MAX($G$3:$G26)&amp;"', '"&amp;$M26&amp;"', '"&amp;$N26&amp;"');","")</f>
        <v>insert into M_CD_VAL_LANG values (24, now(), 1, now(), 1, 0, '17', 'us', 'Has');</v>
      </c>
      <c r="P26" s="8"/>
      <c r="Q26" s="8"/>
    </row>
    <row r="27" spans="1:17" x14ac:dyDescent="0.15">
      <c r="A27" s="4">
        <f t="shared" si="0"/>
        <v>25</v>
      </c>
      <c r="B27" s="11" t="str">
        <f>IF(ISBLANK($C27),"",MAX($B$1:$B26)+1)</f>
        <v/>
      </c>
      <c r="C27" s="4"/>
      <c r="D27" s="4"/>
      <c r="E27" s="4"/>
      <c r="F27" s="11" t="str">
        <f t="shared" si="1"/>
        <v/>
      </c>
      <c r="G27" s="11">
        <f>IF(ISBLANK($H27),"",MAX($G$1:$G26)+1)</f>
        <v>18</v>
      </c>
      <c r="H27" s="4" t="s">
        <v>44</v>
      </c>
      <c r="I27" s="4" t="s">
        <v>91</v>
      </c>
      <c r="J27" s="4">
        <v>2</v>
      </c>
      <c r="K27" s="11" t="str">
        <f>IF(ISNUMBER($G27),"insert into M_CD_VAL values ("&amp;$G27&amp;", now(), 1, now(), 1, 0, '"&amp;MAX($B$3:$B27)&amp;"', '"&amp;$H27&amp;"', '"&amp;$I27&amp;"', "&amp;J27&amp;");","")</f>
        <v>insert into M_CD_VAL values (18, now(), 1, now(), 1, 0, '6', 'nohas', 'DoesNotHave', 2);</v>
      </c>
      <c r="L27" s="11">
        <f>IF(ISBLANK($M27),"",MAX($L$1:$L26)+1)</f>
        <v>25</v>
      </c>
      <c r="M27" s="4" t="s">
        <v>8</v>
      </c>
      <c r="N27" s="4" t="s">
        <v>41</v>
      </c>
      <c r="O27" s="11" t="str">
        <f>IF(ISNUMBER($L27),"insert into M_CD_VAL_LANG values ("&amp;$L27&amp;", now(), 1, now(), 1, 0, '"&amp;MAX($G$3:$G27)&amp;"', '"&amp;$M27&amp;"', '"&amp;$N27&amp;"');","")</f>
        <v>insert into M_CD_VAL_LANG values (25, now(), 1, now(), 1, 0, '18', 'ja', '無し');</v>
      </c>
      <c r="P27" s="8"/>
      <c r="Q27" s="8"/>
    </row>
    <row r="28" spans="1:17" x14ac:dyDescent="0.15">
      <c r="A28" s="4">
        <f t="shared" si="0"/>
        <v>26</v>
      </c>
      <c r="B28" s="11" t="str">
        <f>IF(ISBLANK($C28),"",MAX($B$1:$B27)+1)</f>
        <v/>
      </c>
      <c r="C28" s="4"/>
      <c r="D28" s="4"/>
      <c r="E28" s="4"/>
      <c r="F28" s="11" t="str">
        <f t="shared" si="1"/>
        <v/>
      </c>
      <c r="G28" s="11" t="str">
        <f>IF(ISBLANK($H28),"",MAX($G$1:$G27)+1)</f>
        <v/>
      </c>
      <c r="H28" s="4"/>
      <c r="I28" s="4"/>
      <c r="J28" s="4"/>
      <c r="K28" s="11" t="str">
        <f>IF(ISNUMBER($G28),"insert into M_CD_VAL values ("&amp;$G28&amp;", now(), 1, now(), 1, 0, '"&amp;MAX($B$3:$B28)&amp;"', '"&amp;$H28&amp;"', '"&amp;$I28&amp;"', "&amp;J28&amp;");","")</f>
        <v/>
      </c>
      <c r="L28" s="11">
        <f>IF(ISBLANK($M28),"",MAX($L$1:$L27)+1)</f>
        <v>26</v>
      </c>
      <c r="M28" s="4" t="s">
        <v>43</v>
      </c>
      <c r="N28" s="4" t="s">
        <v>42</v>
      </c>
      <c r="O28" s="11" t="str">
        <f>IF(ISNUMBER($L28),"insert into M_CD_VAL_LANG values ("&amp;$L28&amp;", now(), 1, now(), 1, 0, '"&amp;MAX($G$3:$G28)&amp;"', '"&amp;$M28&amp;"', '"&amp;$N28&amp;"');","")</f>
        <v>insert into M_CD_VAL_LANG values (26, now(), 1, now(), 1, 0, '18', 'us', 'Does not have');</v>
      </c>
      <c r="P28" s="8"/>
      <c r="Q28" s="8"/>
    </row>
    <row r="29" spans="1:17" x14ac:dyDescent="0.15">
      <c r="A29" s="4">
        <f t="shared" si="0"/>
        <v>27</v>
      </c>
      <c r="B29" s="11">
        <f>IF(ISBLANK($C29),"",MAX($B$1:$B28)+1)</f>
        <v>7</v>
      </c>
      <c r="C29" s="4" t="s">
        <v>72</v>
      </c>
      <c r="D29" s="4" t="s">
        <v>45</v>
      </c>
      <c r="E29" s="4"/>
      <c r="F29" s="11" t="str">
        <f t="shared" si="1"/>
        <v>insert into M_CD_GRP values (7, now(), 1, now(), 1, 0, 'LayoutObjType', 'レイアウトオブジェクトタイプ', '');</v>
      </c>
      <c r="G29" s="11">
        <f>IF(ISBLANK($H29),"",MAX($G$1:$G28)+1)</f>
        <v>19</v>
      </c>
      <c r="H29" s="4" t="s">
        <v>142</v>
      </c>
      <c r="I29" s="4" t="s">
        <v>85</v>
      </c>
      <c r="J29" s="4">
        <v>1</v>
      </c>
      <c r="K29" s="11" t="str">
        <f>IF(ISNUMBER($G29),"insert into M_CD_VAL values ("&amp;$G29&amp;", now(), 1, now(), 1, 0, '"&amp;MAX($B$3:$B29)&amp;"', '"&amp;$H29&amp;"', '"&amp;$I29&amp;"', "&amp;J29&amp;");","")</f>
        <v>insert into M_CD_VAL values (19, now(), 1, now(), 1, 0, '7', 'text', 'Text', 1);</v>
      </c>
      <c r="L29" s="11">
        <f>IF(ISBLANK($M29),"",MAX($L$1:$L28)+1)</f>
        <v>27</v>
      </c>
      <c r="M29" s="4" t="s">
        <v>8</v>
      </c>
      <c r="N29" s="4" t="s">
        <v>33</v>
      </c>
      <c r="O29" s="11" t="str">
        <f>IF(ISNUMBER($L29),"insert into M_CD_VAL_LANG values ("&amp;$L29&amp;", now(), 1, now(), 1, 0, '"&amp;MAX($G$3:$G29)&amp;"', '"&amp;$M29&amp;"', '"&amp;$N29&amp;"');","")</f>
        <v>insert into M_CD_VAL_LANG values (27, now(), 1, now(), 1, 0, '19', 'ja', 'テキスト');</v>
      </c>
      <c r="P29" s="8"/>
      <c r="Q29" s="8"/>
    </row>
    <row r="30" spans="1:17" x14ac:dyDescent="0.15">
      <c r="A30" s="4">
        <f t="shared" si="0"/>
        <v>28</v>
      </c>
      <c r="B30" s="11" t="str">
        <f>IF(ISBLANK($C30),"",MAX($B$1:$B29)+1)</f>
        <v/>
      </c>
      <c r="C30" s="4"/>
      <c r="D30" s="4"/>
      <c r="E30" s="4"/>
      <c r="F30" s="11" t="str">
        <f t="shared" si="1"/>
        <v/>
      </c>
      <c r="G30" s="11">
        <f>IF(ISBLANK($H30),"",MAX($G$1:$G29)+1)</f>
        <v>20</v>
      </c>
      <c r="H30" s="4" t="s">
        <v>146</v>
      </c>
      <c r="I30" s="4" t="s">
        <v>92</v>
      </c>
      <c r="J30" s="4">
        <v>2</v>
      </c>
      <c r="K30" s="11" t="str">
        <f>IF(ISNUMBER($G30),"insert into M_CD_VAL values ("&amp;$G30&amp;", now(), 1, now(), 1, 0, '"&amp;MAX($B$3:$B30)&amp;"', '"&amp;$H30&amp;"', '"&amp;$I30&amp;"', "&amp;J30&amp;");","")</f>
        <v>insert into M_CD_VAL values (20, now(), 1, now(), 1, 0, '7', 'image', 'Image', 2);</v>
      </c>
      <c r="L30" s="11">
        <f>IF(ISBLANK($M30),"",MAX($L$1:$L29)+1)</f>
        <v>28</v>
      </c>
      <c r="M30" s="4" t="s">
        <v>8</v>
      </c>
      <c r="N30" s="4" t="s">
        <v>47</v>
      </c>
      <c r="O30" s="11" t="str">
        <f>IF(ISNUMBER($L30),"insert into M_CD_VAL_LANG values ("&amp;$L30&amp;", now(), 1, now(), 1, 0, '"&amp;MAX($G$3:$G30)&amp;"', '"&amp;$M30&amp;"', '"&amp;$N30&amp;"');","")</f>
        <v>insert into M_CD_VAL_LANG values (28, now(), 1, now(), 1, 0, '20', 'ja', '画像');</v>
      </c>
      <c r="P30" s="8"/>
      <c r="Q30" s="8"/>
    </row>
    <row r="31" spans="1:17" x14ac:dyDescent="0.15">
      <c r="A31" s="4">
        <f t="shared" si="0"/>
        <v>29</v>
      </c>
      <c r="B31" s="11" t="str">
        <f>IF(ISBLANK($C31),"",MAX($B$1:$B30)+1)</f>
        <v/>
      </c>
      <c r="C31" s="4"/>
      <c r="D31" s="4"/>
      <c r="E31" s="4"/>
      <c r="F31" s="11" t="str">
        <f t="shared" si="1"/>
        <v/>
      </c>
      <c r="G31" s="11">
        <f>IF(ISBLANK($H31),"",MAX($G$1:$G30)+1)</f>
        <v>21</v>
      </c>
      <c r="H31" s="4" t="s">
        <v>147</v>
      </c>
      <c r="I31" s="4" t="s">
        <v>93</v>
      </c>
      <c r="J31" s="4">
        <v>3</v>
      </c>
      <c r="K31" s="11" t="str">
        <f>IF(ISNUMBER($G31),"insert into M_CD_VAL values ("&amp;$G31&amp;", now(), 1, now(), 1, 0, '"&amp;MAX($B$3:$B31)&amp;"', '"&amp;$H31&amp;"', '"&amp;$I31&amp;"', "&amp;J31&amp;");","")</f>
        <v>insert into M_CD_VAL values (21, now(), 1, now(), 1, 0, '7', 'movie', 'Movie', 3);</v>
      </c>
      <c r="L31" s="11">
        <f>IF(ISBLANK($M31),"",MAX($L$1:$L30)+1)</f>
        <v>29</v>
      </c>
      <c r="M31" s="4" t="s">
        <v>8</v>
      </c>
      <c r="N31" s="4" t="s">
        <v>50</v>
      </c>
      <c r="O31" s="11" t="str">
        <f>IF(ISNUMBER($L31),"insert into M_CD_VAL_LANG values ("&amp;$L31&amp;", now(), 1, now(), 1, 0, '"&amp;MAX($G$3:$G31)&amp;"', '"&amp;$M31&amp;"', '"&amp;$N31&amp;"');","")</f>
        <v>insert into M_CD_VAL_LANG values (29, now(), 1, now(), 1, 0, '21', 'ja', '動画');</v>
      </c>
      <c r="P31" s="8"/>
      <c r="Q31" s="8"/>
    </row>
    <row r="32" spans="1:17" x14ac:dyDescent="0.15">
      <c r="A32" s="4">
        <f t="shared" si="0"/>
        <v>30</v>
      </c>
      <c r="B32" s="11" t="str">
        <f>IF(ISBLANK($C32),"",MAX($B$1:$B31)+1)</f>
        <v/>
      </c>
      <c r="C32" s="4"/>
      <c r="D32" s="4"/>
      <c r="E32" s="4"/>
      <c r="F32" s="11" t="str">
        <f t="shared" si="1"/>
        <v/>
      </c>
      <c r="G32" s="11">
        <f>IF(ISBLANK($H32),"",MAX($G$1:$G31)+1)</f>
        <v>22</v>
      </c>
      <c r="H32" s="4" t="s">
        <v>46</v>
      </c>
      <c r="I32" s="4" t="s">
        <v>83</v>
      </c>
      <c r="J32" s="4">
        <v>4</v>
      </c>
      <c r="K32" s="11" t="str">
        <f>IF(ISNUMBER($G32),"insert into M_CD_VAL values ("&amp;$G32&amp;", now(), 1, now(), 1, 0, '"&amp;MAX($B$3:$B32)&amp;"', '"&amp;$H32&amp;"', '"&amp;$I32&amp;"', "&amp;J32&amp;");","")</f>
        <v>insert into M_CD_VAL values (22, now(), 1, now(), 1, 0, '7', 'map', 'Map', 4);</v>
      </c>
      <c r="L32" s="11">
        <f>IF(ISBLANK($M32),"",MAX($L$1:$L31)+1)</f>
        <v>30</v>
      </c>
      <c r="M32" s="4" t="s">
        <v>8</v>
      </c>
      <c r="N32" s="4" t="s">
        <v>29</v>
      </c>
      <c r="O32" s="11" t="str">
        <f>IF(ISNUMBER($L32),"insert into M_CD_VAL_LANG values ("&amp;$L32&amp;", now(), 1, now(), 1, 0, '"&amp;MAX($G$3:$G32)&amp;"', '"&amp;$M32&amp;"', '"&amp;$N32&amp;"');","")</f>
        <v>insert into M_CD_VAL_LANG values (30, now(), 1, now(), 1, 0, '22', 'ja', '地図');</v>
      </c>
      <c r="P32" s="8"/>
      <c r="Q32" s="8"/>
    </row>
    <row r="33" spans="1:17" x14ac:dyDescent="0.15">
      <c r="A33" s="4">
        <f t="shared" si="0"/>
        <v>31</v>
      </c>
      <c r="B33" s="11" t="str">
        <f>IF(ISBLANK($C33),"",MAX($B$1:$B32)+1)</f>
        <v/>
      </c>
      <c r="C33" s="4"/>
      <c r="D33" s="4"/>
      <c r="E33" s="4"/>
      <c r="F33" s="11" t="str">
        <f t="shared" si="1"/>
        <v/>
      </c>
      <c r="G33" s="11">
        <f>IF(ISBLANK($H33),"",MAX($G$1:$G32)+1)</f>
        <v>23</v>
      </c>
      <c r="H33" s="4" t="s">
        <v>48</v>
      </c>
      <c r="I33" s="4" t="s">
        <v>94</v>
      </c>
      <c r="J33" s="4">
        <v>5</v>
      </c>
      <c r="K33" s="11" t="str">
        <f>IF(ISNUMBER($G33),"insert into M_CD_VAL values ("&amp;$G33&amp;", now(), 1, now(), 1, 0, '"&amp;MAX($B$3:$B33)&amp;"', '"&amp;$H33&amp;"', '"&amp;$I33&amp;"', "&amp;J33&amp;");","")</f>
        <v>insert into M_CD_VAL values (23, now(), 1, now(), 1, 0, '7', 'button', 'Button', 5);</v>
      </c>
      <c r="L33" s="11">
        <f>IF(ISBLANK($M33),"",MAX($L$1:$L32)+1)</f>
        <v>31</v>
      </c>
      <c r="M33" s="4" t="s">
        <v>8</v>
      </c>
      <c r="N33" s="4" t="s">
        <v>49</v>
      </c>
      <c r="O33" s="11" t="str">
        <f>IF(ISNUMBER($L33),"insert into M_CD_VAL_LANG values ("&amp;$L33&amp;", now(), 1, now(), 1, 0, '"&amp;MAX($G$3:$G33)&amp;"', '"&amp;$M33&amp;"', '"&amp;$N33&amp;"');","")</f>
        <v>insert into M_CD_VAL_LANG values (31, now(), 1, now(), 1, 0, '23', 'ja', 'ボタン');</v>
      </c>
      <c r="P33" s="8"/>
      <c r="Q33" s="8"/>
    </row>
    <row r="34" spans="1:17" x14ac:dyDescent="0.15">
      <c r="A34" s="4">
        <f t="shared" si="0"/>
        <v>32</v>
      </c>
      <c r="B34" s="11">
        <f>IF(ISBLANK($C34),"",MAX($B$1:$B33)+1)</f>
        <v>8</v>
      </c>
      <c r="C34" s="4" t="s">
        <v>73</v>
      </c>
      <c r="D34" s="4" t="s">
        <v>51</v>
      </c>
      <c r="E34" s="4"/>
      <c r="F34" s="11" t="str">
        <f t="shared" si="1"/>
        <v>insert into M_CD_GRP values (8, now(), 1, now(), 1, 0, 'LayoutMultiplicity', 'レイアウト多重度', '');</v>
      </c>
      <c r="G34" s="11">
        <f>IF(ISBLANK($H34),"",MAX($G$1:$G33)+1)</f>
        <v>24</v>
      </c>
      <c r="H34" s="4" t="s">
        <v>148</v>
      </c>
      <c r="I34" s="4" t="s">
        <v>95</v>
      </c>
      <c r="J34" s="4">
        <v>1</v>
      </c>
      <c r="K34" s="11" t="str">
        <f>IF(ISNUMBER($G34),"insert into M_CD_VAL values ("&amp;$G34&amp;", now(), 1, now(), 1, 0, '"&amp;MAX($B$3:$B34)&amp;"', '"&amp;$H34&amp;"', '"&amp;$I34&amp;"', "&amp;J34&amp;");","")</f>
        <v>insert into M_CD_VAL values (24, now(), 1, now(), 1, 0, '8', 'single', 'Single', 1);</v>
      </c>
      <c r="L34" s="11">
        <f>IF(ISBLANK($M34),"",MAX($L$1:$L33)+1)</f>
        <v>32</v>
      </c>
      <c r="M34" s="4" t="s">
        <v>8</v>
      </c>
      <c r="N34" s="4" t="s">
        <v>52</v>
      </c>
      <c r="O34" s="11" t="str">
        <f>IF(ISNUMBER($L34),"insert into M_CD_VAL_LANG values ("&amp;$L34&amp;", now(), 1, now(), 1, 0, '"&amp;MAX($G$3:$G34)&amp;"', '"&amp;$M34&amp;"', '"&amp;$N34&amp;"');","")</f>
        <v>insert into M_CD_VAL_LANG values (32, now(), 1, now(), 1, 0, '24', 'ja', 'シングル');</v>
      </c>
      <c r="P34" s="8"/>
      <c r="Q34" s="8"/>
    </row>
    <row r="35" spans="1:17" x14ac:dyDescent="0.15">
      <c r="A35" s="4">
        <f t="shared" ref="A35:A66" si="2">ROW()-2</f>
        <v>33</v>
      </c>
      <c r="B35" s="11" t="str">
        <f>IF(ISBLANK($C35),"",MAX($B$1:$B34)+1)</f>
        <v/>
      </c>
      <c r="C35" s="4"/>
      <c r="D35" s="4"/>
      <c r="E35" s="4"/>
      <c r="F35" s="11" t="str">
        <f t="shared" ref="F35:F66" si="3">IF(ISNUMBER($B35),"insert into M_CD_GRP values ("&amp;$B35&amp;", now(), 1, now(), 1, 0, '"&amp;$C35&amp;"', '"&amp;$D35&amp;"', '"&amp;$E35&amp;"');","")</f>
        <v/>
      </c>
      <c r="G35" s="11">
        <f>IF(ISBLANK($H35),"",MAX($G$1:$G34)+1)</f>
        <v>25</v>
      </c>
      <c r="H35" s="4" t="s">
        <v>149</v>
      </c>
      <c r="I35" s="4" t="s">
        <v>96</v>
      </c>
      <c r="J35" s="4">
        <v>2</v>
      </c>
      <c r="K35" s="11" t="str">
        <f>IF(ISNUMBER($G35),"insert into M_CD_VAL values ("&amp;$G35&amp;", now(), 1, now(), 1, 0, '"&amp;MAX($B$3:$B35)&amp;"', '"&amp;$H35&amp;"', '"&amp;$I35&amp;"', "&amp;J35&amp;");","")</f>
        <v>insert into M_CD_VAL values (25, now(), 1, now(), 1, 0, '8', 'multiple', 'Multiple', 2);</v>
      </c>
      <c r="L35" s="11">
        <f>IF(ISBLANK($M35),"",MAX($L$1:$L34)+1)</f>
        <v>33</v>
      </c>
      <c r="M35" s="4" t="s">
        <v>8</v>
      </c>
      <c r="N35" s="4" t="s">
        <v>53</v>
      </c>
      <c r="O35" s="11" t="str">
        <f>IF(ISNUMBER($L35),"insert into M_CD_VAL_LANG values ("&amp;$L35&amp;", now(), 1, now(), 1, 0, '"&amp;MAX($G$3:$G35)&amp;"', '"&amp;$M35&amp;"', '"&amp;$N35&amp;"');","")</f>
        <v>insert into M_CD_VAL_LANG values (33, now(), 1, now(), 1, 0, '25', 'ja', 'マルチ');</v>
      </c>
      <c r="P35" s="8"/>
      <c r="Q35" s="8"/>
    </row>
    <row r="36" spans="1:17" x14ac:dyDescent="0.15">
      <c r="A36" s="4">
        <f t="shared" si="2"/>
        <v>34</v>
      </c>
      <c r="B36" s="11">
        <f>IF(ISBLANK($C36),"",MAX($B$1:$B35)+1)</f>
        <v>9</v>
      </c>
      <c r="C36" s="4" t="s">
        <v>74</v>
      </c>
      <c r="D36" s="4" t="s">
        <v>55</v>
      </c>
      <c r="E36" s="4"/>
      <c r="F36" s="11" t="str">
        <f t="shared" si="3"/>
        <v>insert into M_CD_GRP values (9, now(), 1, now(), 1, 0, 'Entity', 'エンティティ', '');</v>
      </c>
      <c r="G36" s="11">
        <f>IF(ISBLANK($H36),"",MAX($G$1:$G35)+1)</f>
        <v>26</v>
      </c>
      <c r="H36" s="4" t="s">
        <v>150</v>
      </c>
      <c r="I36" s="4" t="s">
        <v>97</v>
      </c>
      <c r="J36" s="4">
        <v>1</v>
      </c>
      <c r="K36" s="11" t="str">
        <f>IF(ISNUMBER($G36),"insert into M_CD_VAL values ("&amp;$G36&amp;", now(), 1, now(), 1, 0, '"&amp;MAX($B$3:$B36)&amp;"', '"&amp;$H36&amp;"', '"&amp;$I36&amp;"', "&amp;J36&amp;");","")</f>
        <v>insert into M_CD_VAL values (26, now(), 1, now(), 1, 0, '9', 'region', 'Region', 1);</v>
      </c>
      <c r="L36" s="11">
        <f>IF(ISBLANK($M36),"",MAX($L$1:$L35)+1)</f>
        <v>34</v>
      </c>
      <c r="M36" s="4" t="s">
        <v>8</v>
      </c>
      <c r="N36" s="4" t="s">
        <v>59</v>
      </c>
      <c r="O36" s="11" t="str">
        <f>IF(ISNUMBER($L36),"insert into M_CD_VAL_LANG values ("&amp;$L36&amp;", now(), 1, now(), 1, 0, '"&amp;MAX($G$3:$G36)&amp;"', '"&amp;$M36&amp;"', '"&amp;$N36&amp;"');","")</f>
        <v>insert into M_CD_VAL_LANG values (34, now(), 1, now(), 1, 0, '26', 'ja', '地域');</v>
      </c>
      <c r="P36" s="8"/>
      <c r="Q36" s="8"/>
    </row>
    <row r="37" spans="1:17" x14ac:dyDescent="0.15">
      <c r="A37" s="4">
        <f t="shared" si="2"/>
        <v>35</v>
      </c>
      <c r="B37" s="11" t="str">
        <f>IF(ISBLANK($C37),"",MAX($B$1:$B36)+1)</f>
        <v/>
      </c>
      <c r="C37" s="4"/>
      <c r="D37" s="4"/>
      <c r="E37" s="4"/>
      <c r="F37" s="11" t="str">
        <f t="shared" si="3"/>
        <v/>
      </c>
      <c r="G37" s="11">
        <f>IF(ISBLANK($H37),"",MAX($G$1:$G36)+1)</f>
        <v>27</v>
      </c>
      <c r="H37" s="4" t="s">
        <v>151</v>
      </c>
      <c r="I37" s="4" t="s">
        <v>98</v>
      </c>
      <c r="J37" s="4">
        <v>2</v>
      </c>
      <c r="K37" s="11" t="str">
        <f>IF(ISNUMBER($G37),"insert into M_CD_VAL values ("&amp;$G37&amp;", now(), 1, now(), 1, 0, '"&amp;MAX($B$3:$B37)&amp;"', '"&amp;$H37&amp;"', '"&amp;$I37&amp;"', "&amp;J37&amp;");","")</f>
        <v>insert into M_CD_VAL values (27, now(), 1, now(), 1, 0, '9', 'facility', 'Facility', 2);</v>
      </c>
      <c r="L37" s="11">
        <f>IF(ISBLANK($M37),"",MAX($L$1:$L36)+1)</f>
        <v>35</v>
      </c>
      <c r="M37" s="4" t="s">
        <v>8</v>
      </c>
      <c r="N37" s="4" t="s">
        <v>58</v>
      </c>
      <c r="O37" s="11" t="str">
        <f>IF(ISNUMBER($L37),"insert into M_CD_VAL_LANG values ("&amp;$L37&amp;", now(), 1, now(), 1, 0, '"&amp;MAX($G$3:$G37)&amp;"', '"&amp;$M37&amp;"', '"&amp;$N37&amp;"');","")</f>
        <v>insert into M_CD_VAL_LANG values (35, now(), 1, now(), 1, 0, '27', 'ja', '施設');</v>
      </c>
      <c r="P37" s="8"/>
      <c r="Q37" s="8"/>
    </row>
    <row r="38" spans="1:17" x14ac:dyDescent="0.15">
      <c r="A38" s="4">
        <f t="shared" si="2"/>
        <v>36</v>
      </c>
      <c r="B38" s="11" t="str">
        <f>IF(ISBLANK($C38),"",MAX($B$1:$B37)+1)</f>
        <v/>
      </c>
      <c r="C38" s="4"/>
      <c r="D38" s="4"/>
      <c r="E38" s="4"/>
      <c r="F38" s="11" t="str">
        <f t="shared" si="3"/>
        <v/>
      </c>
      <c r="G38" s="11">
        <f>IF(ISBLANK($H38),"",MAX($G$1:$G37)+1)</f>
        <v>28</v>
      </c>
      <c r="H38" s="4" t="s">
        <v>56</v>
      </c>
      <c r="I38" s="4" t="s">
        <v>99</v>
      </c>
      <c r="J38" s="4">
        <v>3</v>
      </c>
      <c r="K38" s="11" t="str">
        <f>IF(ISNUMBER($G38),"insert into M_CD_VAL values ("&amp;$G38&amp;", now(), 1, now(), 1, 0, '"&amp;MAX($B$3:$B38)&amp;"', '"&amp;$H38&amp;"', '"&amp;$I38&amp;"', "&amp;J38&amp;");","")</f>
        <v>insert into M_CD_VAL values (28, now(), 1, now(), 1, 0, '9', 'facgrp', 'FacilityGroup', 3);</v>
      </c>
      <c r="L38" s="11">
        <f>IF(ISBLANK($M38),"",MAX($L$1:$L37)+1)</f>
        <v>36</v>
      </c>
      <c r="M38" s="4" t="s">
        <v>8</v>
      </c>
      <c r="N38" s="4" t="s">
        <v>60</v>
      </c>
      <c r="O38" s="11" t="str">
        <f>IF(ISNUMBER($L38),"insert into M_CD_VAL_LANG values ("&amp;$L38&amp;", now(), 1, now(), 1, 0, '"&amp;MAX($G$3:$G38)&amp;"', '"&amp;$M38&amp;"', '"&amp;$N38&amp;"');","")</f>
        <v>insert into M_CD_VAL_LANG values (36, now(), 1, now(), 1, 0, '28', 'ja', '施設グループ');</v>
      </c>
      <c r="P38" s="8"/>
      <c r="Q38" s="8"/>
    </row>
    <row r="39" spans="1:17" x14ac:dyDescent="0.15">
      <c r="A39" s="4">
        <f t="shared" si="2"/>
        <v>37</v>
      </c>
      <c r="B39" s="11" t="str">
        <f>IF(ISBLANK($C39),"",MAX($B$1:$B38)+1)</f>
        <v/>
      </c>
      <c r="C39" s="4"/>
      <c r="D39" s="4"/>
      <c r="E39" s="4"/>
      <c r="F39" s="11" t="str">
        <f t="shared" si="3"/>
        <v/>
      </c>
      <c r="G39" s="11">
        <f>IF(ISBLANK($H39),"",MAX($G$1:$G38)+1)</f>
        <v>29</v>
      </c>
      <c r="H39" s="4" t="s">
        <v>57</v>
      </c>
      <c r="I39" s="4" t="s">
        <v>100</v>
      </c>
      <c r="J39" s="4">
        <v>4</v>
      </c>
      <c r="K39" s="11" t="str">
        <f>IF(ISNUMBER($G39),"insert into M_CD_VAL values ("&amp;$G39&amp;", now(), 1, now(), 1, 0, '"&amp;MAX($B$3:$B39)&amp;"', '"&amp;$H39&amp;"', '"&amp;$I39&amp;"', "&amp;J39&amp;");","")</f>
        <v>insert into M_CD_VAL values (29, now(), 1, now(), 1, 0, '9', 'facgrpln', 'FacilityFacilityGroupLink', 4);</v>
      </c>
      <c r="L39" s="11">
        <f>IF(ISBLANK($M39),"",MAX($L$1:$L38)+1)</f>
        <v>37</v>
      </c>
      <c r="M39" s="4" t="s">
        <v>8</v>
      </c>
      <c r="N39" s="4" t="s">
        <v>61</v>
      </c>
      <c r="O39" s="11" t="str">
        <f>IF(ISNUMBER($L39),"insert into M_CD_VAL_LANG values ("&amp;$L39&amp;", now(), 1, now(), 1, 0, '"&amp;MAX($G$3:$G39)&amp;"', '"&amp;$M39&amp;"', '"&amp;$N39&amp;"');","")</f>
        <v>insert into M_CD_VAL_LANG values (37, now(), 1, now(), 1, 0, '29', 'ja', '施設_施設グループ_リンク');</v>
      </c>
      <c r="P39" s="8"/>
      <c r="Q39" s="8"/>
    </row>
    <row r="40" spans="1:17" x14ac:dyDescent="0.15">
      <c r="A40" s="4">
        <f t="shared" si="2"/>
        <v>38</v>
      </c>
      <c r="B40" s="11">
        <f>IF(ISBLANK($C40),"",MAX($B$1:$B39)+1)</f>
        <v>10</v>
      </c>
      <c r="C40" s="4" t="s">
        <v>101</v>
      </c>
      <c r="D40" s="4" t="s">
        <v>102</v>
      </c>
      <c r="E40" s="4"/>
      <c r="F40" s="11" t="str">
        <f t="shared" si="3"/>
        <v>insert into M_CD_GRP values (10, now(), 1, now(), 1, 0, 'Purpose', '目的', '');</v>
      </c>
      <c r="G40" s="11">
        <f>IF(ISBLANK($H40),"",MAX($G$1:$G39)+1)</f>
        <v>30</v>
      </c>
      <c r="H40" s="4" t="s">
        <v>108</v>
      </c>
      <c r="I40" s="4" t="s">
        <v>109</v>
      </c>
      <c r="J40" s="4">
        <v>1</v>
      </c>
      <c r="K40" s="11" t="str">
        <f>IF(ISNUMBER($G40),"insert into M_CD_VAL values ("&amp;$G40&amp;", now(), 1, now(), 1, 0, '"&amp;MAX($B$3:$B40)&amp;"', '"&amp;$H40&amp;"', '"&amp;$I40&amp;"', "&amp;J40&amp;");","")</f>
        <v>insert into M_CD_VAL values (30, now(), 1, now(), 1, 0, '10', 'eat', 'Eat', 1);</v>
      </c>
      <c r="L40" s="11">
        <f>IF(ISBLANK($M40),"",MAX($L$1:$L39)+1)</f>
        <v>38</v>
      </c>
      <c r="M40" s="4" t="s">
        <v>8</v>
      </c>
      <c r="N40" s="4" t="s">
        <v>103</v>
      </c>
      <c r="O40" s="11" t="str">
        <f>IF(ISNUMBER($L40),"insert into M_CD_VAL_LANG values ("&amp;$L40&amp;", now(), 1, now(), 1, 0, '"&amp;MAX($G$3:$G40)&amp;"', '"&amp;$M40&amp;"', '"&amp;$N40&amp;"');","")</f>
        <v>insert into M_CD_VAL_LANG values (38, now(), 1, now(), 1, 0, '30', 'ja', '食べる');</v>
      </c>
      <c r="P40" s="8"/>
      <c r="Q40" s="8"/>
    </row>
    <row r="41" spans="1:17" x14ac:dyDescent="0.15">
      <c r="A41" s="4">
        <f t="shared" si="2"/>
        <v>39</v>
      </c>
      <c r="B41" s="11" t="str">
        <f>IF(ISBLANK($C41),"",MAX($B$1:$B40)+1)</f>
        <v/>
      </c>
      <c r="C41" s="4"/>
      <c r="D41" s="4"/>
      <c r="E41" s="4"/>
      <c r="F41" s="11" t="str">
        <f t="shared" si="3"/>
        <v/>
      </c>
      <c r="G41" s="11">
        <f>IF(ISBLANK($H41),"",MAX($G$1:$G40)+1)</f>
        <v>31</v>
      </c>
      <c r="H41" s="4" t="s">
        <v>113</v>
      </c>
      <c r="I41" s="4" t="s">
        <v>110</v>
      </c>
      <c r="J41" s="4">
        <v>2</v>
      </c>
      <c r="K41" s="11" t="str">
        <f>IF(ISNUMBER($G41),"insert into M_CD_VAL values ("&amp;$G41&amp;", now(), 1, now(), 1, 0, '"&amp;MAX($B$3:$B41)&amp;"', '"&amp;$H41&amp;"', '"&amp;$I41&amp;"', "&amp;J41&amp;");","")</f>
        <v>insert into M_CD_VAL values (31, now(), 1, now(), 1, 0, '10', 'shop', 'Shop', 2);</v>
      </c>
      <c r="L41" s="11">
        <f>IF(ISBLANK($M41),"",MAX($L$1:$L40)+1)</f>
        <v>39</v>
      </c>
      <c r="M41" s="4" t="s">
        <v>104</v>
      </c>
      <c r="N41" s="4" t="s">
        <v>105</v>
      </c>
      <c r="O41" s="11" t="str">
        <f>IF(ISNUMBER($L41),"insert into M_CD_VAL_LANG values ("&amp;$L41&amp;", now(), 1, now(), 1, 0, '"&amp;MAX($G$3:$G41)&amp;"', '"&amp;$M41&amp;"', '"&amp;$N41&amp;"');","")</f>
        <v>insert into M_CD_VAL_LANG values (39, now(), 1, now(), 1, 0, '31', 'ja', '買う');</v>
      </c>
      <c r="P41" s="8"/>
      <c r="Q41" s="8"/>
    </row>
    <row r="42" spans="1:17" x14ac:dyDescent="0.15">
      <c r="A42" s="4">
        <f t="shared" si="2"/>
        <v>40</v>
      </c>
      <c r="B42" s="11" t="str">
        <f>IF(ISBLANK($C42),"",MAX($B$1:$B41)+1)</f>
        <v/>
      </c>
      <c r="C42" s="4"/>
      <c r="D42" s="4"/>
      <c r="E42" s="4"/>
      <c r="F42" s="11" t="str">
        <f t="shared" si="3"/>
        <v/>
      </c>
      <c r="G42" s="11">
        <f>IF(ISBLANK($H42),"",MAX($G$1:$G41)+1)</f>
        <v>32</v>
      </c>
      <c r="H42" s="4" t="s">
        <v>263</v>
      </c>
      <c r="I42" s="4" t="s">
        <v>262</v>
      </c>
      <c r="J42" s="4">
        <v>3</v>
      </c>
      <c r="K42" s="11" t="str">
        <f>IF(ISNUMBER($G42),"insert into M_CD_VAL values ("&amp;$G42&amp;", now(), 1, now(), 1, 0, '"&amp;MAX($B$3:$B42)&amp;"', '"&amp;$H42&amp;"', '"&amp;$I42&amp;"', "&amp;J42&amp;");","")</f>
        <v>insert into M_CD_VAL values (32, now(), 1, now(), 1, 0, '10', 'playsee', 'PlaySee', 3);</v>
      </c>
      <c r="L42" s="11">
        <f>IF(ISBLANK($M42),"",MAX($L$1:$L41)+1)</f>
        <v>40</v>
      </c>
      <c r="M42" s="4" t="s">
        <v>104</v>
      </c>
      <c r="N42" s="4" t="s">
        <v>264</v>
      </c>
      <c r="O42" s="11" t="str">
        <f>IF(ISNUMBER($L42),"insert into M_CD_VAL_LANG values ("&amp;$L42&amp;", now(), 1, now(), 1, 0, '"&amp;MAX($G$3:$G42)&amp;"', '"&amp;$M42&amp;"', '"&amp;$N42&amp;"');","")</f>
        <v>insert into M_CD_VAL_LANG values (40, now(), 1, now(), 1, 0, '32', 'ja', '遊ぶ・見る');</v>
      </c>
      <c r="P42" s="8"/>
      <c r="Q42" s="8"/>
    </row>
    <row r="43" spans="1:17" x14ac:dyDescent="0.15">
      <c r="A43" s="4">
        <f t="shared" si="2"/>
        <v>41</v>
      </c>
      <c r="B43" s="11" t="str">
        <f>IF(ISBLANK($C43),"",MAX($B$1:$B42)+1)</f>
        <v/>
      </c>
      <c r="C43" s="4"/>
      <c r="D43" s="4"/>
      <c r="E43" s="4"/>
      <c r="F43" s="11" t="str">
        <f t="shared" si="3"/>
        <v/>
      </c>
      <c r="G43" s="11">
        <f>IF(ISBLANK($H43),"",MAX($G$1:$G42)+1)</f>
        <v>33</v>
      </c>
      <c r="H43" s="4" t="s">
        <v>114</v>
      </c>
      <c r="I43" s="4" t="s">
        <v>111</v>
      </c>
      <c r="J43" s="4">
        <v>5</v>
      </c>
      <c r="K43" s="11" t="str">
        <f>IF(ISNUMBER($G43),"insert into M_CD_VAL values ("&amp;$G43&amp;", now(), 1, now(), 1, 0, '"&amp;MAX($B$3:$B43)&amp;"', '"&amp;$H43&amp;"', '"&amp;$I43&amp;"', "&amp;J43&amp;");","")</f>
        <v>insert into M_CD_VAL values (33, now(), 1, now(), 1, 0, '10', 'stay', 'Stay', 5);</v>
      </c>
      <c r="L43" s="11">
        <f>IF(ISBLANK($M43),"",MAX($L$1:$L42)+1)</f>
        <v>41</v>
      </c>
      <c r="M43" s="4" t="s">
        <v>104</v>
      </c>
      <c r="N43" s="4" t="s">
        <v>106</v>
      </c>
      <c r="O43" s="11" t="str">
        <f>IF(ISNUMBER($L43),"insert into M_CD_VAL_LANG values ("&amp;$L43&amp;", now(), 1, now(), 1, 0, '"&amp;MAX($G$3:$G43)&amp;"', '"&amp;$M43&amp;"', '"&amp;$N43&amp;"');","")</f>
        <v>insert into M_CD_VAL_LANG values (41, now(), 1, now(), 1, 0, '33', 'ja', '泊まる');</v>
      </c>
      <c r="P43" s="8"/>
      <c r="Q43" s="8"/>
    </row>
    <row r="44" spans="1:17" x14ac:dyDescent="0.15">
      <c r="A44" s="4">
        <f t="shared" si="2"/>
        <v>42</v>
      </c>
      <c r="B44" s="11" t="str">
        <f>IF(ISBLANK($C44),"",MAX($B$1:$B43)+1)</f>
        <v/>
      </c>
      <c r="C44" s="4"/>
      <c r="D44" s="4"/>
      <c r="E44" s="4"/>
      <c r="F44" s="11" t="str">
        <f t="shared" si="3"/>
        <v/>
      </c>
      <c r="G44" s="11">
        <f>IF(ISBLANK($H44),"",MAX($G$1:$G43)+1)</f>
        <v>34</v>
      </c>
      <c r="H44" s="4" t="s">
        <v>115</v>
      </c>
      <c r="I44" s="4" t="s">
        <v>112</v>
      </c>
      <c r="J44" s="4">
        <v>6</v>
      </c>
      <c r="K44" s="11" t="str">
        <f>IF(ISNUMBER($G44),"insert into M_CD_VAL values ("&amp;$G44&amp;", now(), 1, now(), 1, 0, '"&amp;MAX($B$3:$B44)&amp;"', '"&amp;$H44&amp;"', '"&amp;$I44&amp;"', "&amp;J44&amp;");","")</f>
        <v>insert into M_CD_VAL values (34, now(), 1, now(), 1, 0, '10', 'event', 'Event', 6);</v>
      </c>
      <c r="L44" s="11">
        <f>IF(ISBLANK($M44),"",MAX($L$1:$L43)+1)</f>
        <v>42</v>
      </c>
      <c r="M44" s="4" t="s">
        <v>104</v>
      </c>
      <c r="N44" s="4" t="s">
        <v>107</v>
      </c>
      <c r="O44" s="11" t="str">
        <f>IF(ISNUMBER($L44),"insert into M_CD_VAL_LANG values ("&amp;$L44&amp;", now(), 1, now(), 1, 0, '"&amp;MAX($G$3:$G44)&amp;"', '"&amp;$M44&amp;"', '"&amp;$N44&amp;"');","")</f>
        <v>insert into M_CD_VAL_LANG values (42, now(), 1, now(), 1, 0, '34', 'ja', 'イベント');</v>
      </c>
      <c r="P44" s="8"/>
      <c r="Q44" s="8"/>
    </row>
    <row r="45" spans="1:17" x14ac:dyDescent="0.15">
      <c r="A45" s="4">
        <f t="shared" si="2"/>
        <v>43</v>
      </c>
      <c r="B45" s="11">
        <f>IF(ISBLANK($C45),"",MAX($B$1:$B44)+1)</f>
        <v>11</v>
      </c>
      <c r="C45" s="4" t="s">
        <v>116</v>
      </c>
      <c r="D45" s="4" t="s">
        <v>117</v>
      </c>
      <c r="E45" s="4"/>
      <c r="F45" s="11" t="str">
        <f t="shared" si="3"/>
        <v>insert into M_CD_GRP values (11, now(), 1, now(), 1, 0, 'EatGenre', '食べるジャンル', '');</v>
      </c>
      <c r="G45" s="11">
        <f>IF(ISBLANK($H45),"",MAX($G$1:$G44)+1)</f>
        <v>35</v>
      </c>
      <c r="H45" s="4" t="s">
        <v>193</v>
      </c>
      <c r="I45" s="4" t="s">
        <v>152</v>
      </c>
      <c r="J45" s="4">
        <v>1</v>
      </c>
      <c r="K45" s="11" t="str">
        <f>IF(ISNUMBER($G45),"insert into M_CD_VAL values ("&amp;$G45&amp;", now(), 1, now(), 1, 0, '"&amp;MAX($B$3:$B45)&amp;"', '"&amp;$H45&amp;"', '"&amp;$I45&amp;"', "&amp;J45&amp;");","")</f>
        <v>insert into M_CD_VAL values (35, now(), 1, now(), 1, 0, '11', 'jpnsfd', 'JapaneseFood', 1);</v>
      </c>
      <c r="L45" s="11">
        <f>IF(ISBLANK($M45),"",MAX($L$1:$L44)+1)</f>
        <v>43</v>
      </c>
      <c r="M45" s="4" t="s">
        <v>8</v>
      </c>
      <c r="N45" s="4" t="s">
        <v>160</v>
      </c>
      <c r="O45" s="11" t="str">
        <f>IF(ISNUMBER($L45),"insert into M_CD_VAL_LANG values ("&amp;$L45&amp;", now(), 1, now(), 1, 0, '"&amp;MAX($G$3:$G45)&amp;"', '"&amp;$M45&amp;"', '"&amp;$N45&amp;"');","")</f>
        <v>insert into M_CD_VAL_LANG values (43, now(), 1, now(), 1, 0, '35', 'ja', '和食');</v>
      </c>
      <c r="P45" s="8"/>
      <c r="Q45" s="8"/>
    </row>
    <row r="46" spans="1:17" x14ac:dyDescent="0.15">
      <c r="A46" s="4">
        <f t="shared" si="2"/>
        <v>44</v>
      </c>
      <c r="B46" s="11" t="str">
        <f>IF(ISBLANK($C46),"",MAX($B$1:$B45)+1)</f>
        <v/>
      </c>
      <c r="C46" s="4"/>
      <c r="D46" s="4"/>
      <c r="E46" s="4"/>
      <c r="F46" s="11" t="str">
        <f t="shared" si="3"/>
        <v/>
      </c>
      <c r="G46" s="11">
        <f>IF(ISBLANK($H46),"",MAX($G$1:$G45)+1)</f>
        <v>36</v>
      </c>
      <c r="H46" s="4" t="s">
        <v>194</v>
      </c>
      <c r="I46" s="4" t="s">
        <v>175</v>
      </c>
      <c r="J46" s="4">
        <v>2</v>
      </c>
      <c r="K46" s="11" t="str">
        <f>IF(ISNUMBER($G46),"insert into M_CD_VAL values ("&amp;$G46&amp;", now(), 1, now(), 1, 0, '"&amp;MAX($B$3:$B46)&amp;"', '"&amp;$H46&amp;"', '"&amp;$I46&amp;"', "&amp;J46&amp;");","")</f>
        <v>insert into M_CD_VAL values (36, now(), 1, now(), 1, 0, '11', 'jpnsbar', 'JapaneseBar', 2);</v>
      </c>
      <c r="L46" s="11">
        <f>IF(ISBLANK($M46),"",MAX($L$1:$L45)+1)</f>
        <v>44</v>
      </c>
      <c r="M46" s="4" t="s">
        <v>104</v>
      </c>
      <c r="N46" s="4" t="s">
        <v>189</v>
      </c>
      <c r="O46" s="11" t="str">
        <f>IF(ISNUMBER($L46),"insert into M_CD_VAL_LANG values ("&amp;$L46&amp;", now(), 1, now(), 1, 0, '"&amp;MAX($G$3:$G46)&amp;"', '"&amp;$M46&amp;"', '"&amp;$N46&amp;"');","")</f>
        <v>insert into M_CD_VAL_LANG values (44, now(), 1, now(), 1, 0, '36', 'ja', '居酒屋');</v>
      </c>
      <c r="P46" s="8"/>
      <c r="Q46" s="8"/>
    </row>
    <row r="47" spans="1:17" x14ac:dyDescent="0.15">
      <c r="A47" s="4">
        <f t="shared" si="2"/>
        <v>45</v>
      </c>
      <c r="B47" s="11" t="str">
        <f>IF(ISBLANK($C47),"",MAX($B$1:$B46)+1)</f>
        <v/>
      </c>
      <c r="C47" s="4"/>
      <c r="D47" s="4"/>
      <c r="E47" s="4"/>
      <c r="F47" s="11" t="str">
        <f t="shared" si="3"/>
        <v/>
      </c>
      <c r="G47" s="11">
        <f>IF(ISBLANK($H47),"",MAX($G$1:$G46)+1)</f>
        <v>37</v>
      </c>
      <c r="H47" s="4" t="s">
        <v>169</v>
      </c>
      <c r="I47" s="4" t="s">
        <v>155</v>
      </c>
      <c r="J47" s="4">
        <v>3</v>
      </c>
      <c r="K47" s="11" t="str">
        <f>IF(ISNUMBER($G47),"insert into M_CD_VAL values ("&amp;$G47&amp;", now(), 1, now(), 1, 0, '"&amp;MAX($B$3:$B47)&amp;"', '"&amp;$H47&amp;"', '"&amp;$I47&amp;"', "&amp;J47&amp;");","")</f>
        <v>insert into M_CD_VAL values (37, now(), 1, now(), 1, 0, '11', 'amecnfd', 'AmericanFood', 3);</v>
      </c>
      <c r="L47" s="11">
        <f>IF(ISBLANK($M47),"",MAX($L$1:$L46)+1)</f>
        <v>45</v>
      </c>
      <c r="M47" s="4" t="s">
        <v>104</v>
      </c>
      <c r="N47" s="4" t="s">
        <v>161</v>
      </c>
      <c r="O47" s="11" t="str">
        <f>IF(ISNUMBER($L47),"insert into M_CD_VAL_LANG values ("&amp;$L47&amp;", now(), 1, now(), 1, 0, '"&amp;MAX($G$3:$G47)&amp;"', '"&amp;$M47&amp;"', '"&amp;$N47&amp;"');","")</f>
        <v>insert into M_CD_VAL_LANG values (45, now(), 1, now(), 1, 0, '37', 'ja', 'アメリカン');</v>
      </c>
      <c r="P47" s="8"/>
      <c r="Q47" s="8"/>
    </row>
    <row r="48" spans="1:17" x14ac:dyDescent="0.15">
      <c r="A48" s="4">
        <f t="shared" si="2"/>
        <v>46</v>
      </c>
      <c r="B48" s="11" t="str">
        <f>IF(ISBLANK($C48),"",MAX($B$1:$B47)+1)</f>
        <v/>
      </c>
      <c r="C48" s="4"/>
      <c r="D48" s="4"/>
      <c r="E48" s="4"/>
      <c r="F48" s="11" t="str">
        <f t="shared" si="3"/>
        <v/>
      </c>
      <c r="G48" s="11">
        <f>IF(ISBLANK($H48),"",MAX($G$1:$G47)+1)</f>
        <v>38</v>
      </c>
      <c r="H48" s="4" t="s">
        <v>171</v>
      </c>
      <c r="I48" s="4" t="s">
        <v>156</v>
      </c>
      <c r="J48" s="4">
        <v>4</v>
      </c>
      <c r="K48" s="11" t="str">
        <f>IF(ISNUMBER($G48),"insert into M_CD_VAL values ("&amp;$G48&amp;", now(), 1, now(), 1, 0, '"&amp;MAX($B$3:$B48)&amp;"', '"&amp;$H48&amp;"', '"&amp;$I48&amp;"', "&amp;J48&amp;");","")</f>
        <v>insert into M_CD_VAL values (38, now(), 1, now(), 1, 0, '11', 'italnfd', 'ItalianFood', 4);</v>
      </c>
      <c r="L48" s="11">
        <f>IF(ISBLANK($M48),"",MAX($L$1:$L47)+1)</f>
        <v>46</v>
      </c>
      <c r="M48" s="4" t="s">
        <v>104</v>
      </c>
      <c r="N48" s="4" t="s">
        <v>162</v>
      </c>
      <c r="O48" s="11" t="str">
        <f>IF(ISNUMBER($L48),"insert into M_CD_VAL_LANG values ("&amp;$L48&amp;", now(), 1, now(), 1, 0, '"&amp;MAX($G$3:$G48)&amp;"', '"&amp;$M48&amp;"', '"&amp;$N48&amp;"');","")</f>
        <v>insert into M_CD_VAL_LANG values (46, now(), 1, now(), 1, 0, '38', 'ja', 'イタリアン');</v>
      </c>
      <c r="P48" s="8"/>
      <c r="Q48" s="8"/>
    </row>
    <row r="49" spans="1:17" x14ac:dyDescent="0.15">
      <c r="A49" s="4">
        <f t="shared" si="2"/>
        <v>47</v>
      </c>
      <c r="B49" s="11" t="str">
        <f>IF(ISBLANK($C49),"",MAX($B$1:$B48)+1)</f>
        <v/>
      </c>
      <c r="C49" s="4"/>
      <c r="D49" s="4"/>
      <c r="E49" s="4"/>
      <c r="F49" s="11" t="str">
        <f t="shared" si="3"/>
        <v/>
      </c>
      <c r="G49" s="11">
        <f>IF(ISBLANK($H49),"",MAX($G$1:$G48)+1)</f>
        <v>39</v>
      </c>
      <c r="H49" s="4" t="s">
        <v>170</v>
      </c>
      <c r="I49" s="4" t="s">
        <v>157</v>
      </c>
      <c r="J49" s="4">
        <v>5</v>
      </c>
      <c r="K49" s="11" t="str">
        <f>IF(ISNUMBER($G49),"insert into M_CD_VAL values ("&amp;$G49&amp;", now(), 1, now(), 1, 0, '"&amp;MAX($B$3:$B49)&amp;"', '"&amp;$H49&amp;"', '"&amp;$I49&amp;"', "&amp;J49&amp;");","")</f>
        <v>insert into M_CD_VAL values (39, now(), 1, now(), 1, 0, '11', 'frenchfd', 'FrenchFood', 5);</v>
      </c>
      <c r="L49" s="11">
        <f>IF(ISBLANK($M49),"",MAX($L$1:$L48)+1)</f>
        <v>47</v>
      </c>
      <c r="M49" s="4" t="s">
        <v>104</v>
      </c>
      <c r="N49" s="4" t="s">
        <v>163</v>
      </c>
      <c r="O49" s="11" t="str">
        <f>IF(ISNUMBER($L49),"insert into M_CD_VAL_LANG values ("&amp;$L49&amp;", now(), 1, now(), 1, 0, '"&amp;MAX($G$3:$G49)&amp;"', '"&amp;$M49&amp;"', '"&amp;$N49&amp;"');","")</f>
        <v>insert into M_CD_VAL_LANG values (47, now(), 1, now(), 1, 0, '39', 'ja', 'フレンチ');</v>
      </c>
      <c r="P49" s="8"/>
      <c r="Q49" s="8"/>
    </row>
    <row r="50" spans="1:17" x14ac:dyDescent="0.15">
      <c r="A50" s="4">
        <f t="shared" si="2"/>
        <v>48</v>
      </c>
      <c r="B50" s="11" t="str">
        <f>IF(ISBLANK($C50),"",MAX($B$1:$B49)+1)</f>
        <v/>
      </c>
      <c r="C50" s="4"/>
      <c r="D50" s="4"/>
      <c r="E50" s="4"/>
      <c r="F50" s="11" t="str">
        <f t="shared" si="3"/>
        <v/>
      </c>
      <c r="G50" s="11">
        <f>IF(ISBLANK($H50),"",MAX($G$1:$G49)+1)</f>
        <v>40</v>
      </c>
      <c r="H50" s="4" t="s">
        <v>172</v>
      </c>
      <c r="I50" s="4" t="s">
        <v>164</v>
      </c>
      <c r="J50" s="4">
        <v>6</v>
      </c>
      <c r="K50" s="11" t="str">
        <f>IF(ISNUMBER($G50),"insert into M_CD_VAL values ("&amp;$G50&amp;", now(), 1, now(), 1, 0, '"&amp;MAX($B$3:$B50)&amp;"', '"&amp;$H50&amp;"', '"&amp;$I50&amp;"', "&amp;J50&amp;");","")</f>
        <v>insert into M_CD_VAL values (40, now(), 1, now(), 1, 0, '11', 'mexfd', 'MexicanFood', 6);</v>
      </c>
      <c r="L50" s="11">
        <f>IF(ISBLANK($M50),"",MAX($L$1:$L49)+1)</f>
        <v>48</v>
      </c>
      <c r="M50" s="4" t="s">
        <v>104</v>
      </c>
      <c r="N50" s="4" t="s">
        <v>166</v>
      </c>
      <c r="O50" s="11" t="str">
        <f>IF(ISNUMBER($L50),"insert into M_CD_VAL_LANG values ("&amp;$L50&amp;", now(), 1, now(), 1, 0, '"&amp;MAX($G$3:$G50)&amp;"', '"&amp;$M50&amp;"', '"&amp;$N50&amp;"');","")</f>
        <v>insert into M_CD_VAL_LANG values (48, now(), 1, now(), 1, 0, '40', 'ja', 'メキシカン');</v>
      </c>
      <c r="P50" s="8"/>
      <c r="Q50" s="8"/>
    </row>
    <row r="51" spans="1:17" x14ac:dyDescent="0.15">
      <c r="A51" s="4">
        <f t="shared" si="2"/>
        <v>49</v>
      </c>
      <c r="B51" s="11" t="str">
        <f>IF(ISBLANK($C51),"",MAX($B$1:$B50)+1)</f>
        <v/>
      </c>
      <c r="C51" s="4"/>
      <c r="D51" s="4"/>
      <c r="E51" s="4"/>
      <c r="F51" s="11" t="str">
        <f t="shared" si="3"/>
        <v/>
      </c>
      <c r="G51" s="11">
        <f>IF(ISBLANK($H51),"",MAX($G$1:$G50)+1)</f>
        <v>41</v>
      </c>
      <c r="H51" s="4" t="s">
        <v>173</v>
      </c>
      <c r="I51" s="4" t="s">
        <v>153</v>
      </c>
      <c r="J51" s="4">
        <v>7</v>
      </c>
      <c r="K51" s="11" t="str">
        <f>IF(ISNUMBER($G51),"insert into M_CD_VAL values ("&amp;$G51&amp;", now(), 1, now(), 1, 0, '"&amp;MAX($B$3:$B51)&amp;"', '"&amp;$H51&amp;"', '"&amp;$I51&amp;"', "&amp;J51&amp;");","")</f>
        <v>insert into M_CD_VAL values (41, now(), 1, now(), 1, 0, '11', 'chnsfd', 'ChineseFood', 7);</v>
      </c>
      <c r="L51" s="11">
        <f>IF(ISBLANK($M51),"",MAX($L$1:$L50)+1)</f>
        <v>49</v>
      </c>
      <c r="M51" s="4" t="s">
        <v>104</v>
      </c>
      <c r="N51" s="4" t="s">
        <v>167</v>
      </c>
      <c r="O51" s="11" t="str">
        <f>IF(ISNUMBER($L51),"insert into M_CD_VAL_LANG values ("&amp;$L51&amp;", now(), 1, now(), 1, 0, '"&amp;MAX($G$3:$G51)&amp;"', '"&amp;$M51&amp;"', '"&amp;$N51&amp;"');","")</f>
        <v>insert into M_CD_VAL_LANG values (49, now(), 1, now(), 1, 0, '41', 'ja', '中華');</v>
      </c>
      <c r="P51" s="8"/>
      <c r="Q51" s="8"/>
    </row>
    <row r="52" spans="1:17" x14ac:dyDescent="0.15">
      <c r="A52" s="4">
        <f t="shared" si="2"/>
        <v>50</v>
      </c>
      <c r="B52" s="11" t="str">
        <f>IF(ISBLANK($C52),"",MAX($B$1:$B51)+1)</f>
        <v/>
      </c>
      <c r="C52" s="4"/>
      <c r="D52" s="4"/>
      <c r="E52" s="4"/>
      <c r="F52" s="11" t="str">
        <f t="shared" si="3"/>
        <v/>
      </c>
      <c r="G52" s="11">
        <f>IF(ISBLANK($H52),"",MAX($G$1:$G51)+1)</f>
        <v>42</v>
      </c>
      <c r="H52" s="4" t="s">
        <v>174</v>
      </c>
      <c r="I52" s="4" t="s">
        <v>165</v>
      </c>
      <c r="J52" s="4">
        <v>8</v>
      </c>
      <c r="K52" s="11" t="str">
        <f>IF(ISNUMBER($G52),"insert into M_CD_VAL values ("&amp;$G52&amp;", now(), 1, now(), 1, 0, '"&amp;MAX($B$3:$B52)&amp;"', '"&amp;$H52&amp;"', '"&amp;$I52&amp;"', "&amp;J52&amp;");","")</f>
        <v>insert into M_CD_VAL values (42, now(), 1, now(), 1, 0, '11', 'koreanfd', 'KoreanFood', 8);</v>
      </c>
      <c r="L52" s="11">
        <f>IF(ISBLANK($M52),"",MAX($L$1:$L51)+1)</f>
        <v>50</v>
      </c>
      <c r="M52" s="4" t="s">
        <v>104</v>
      </c>
      <c r="N52" s="4" t="s">
        <v>168</v>
      </c>
      <c r="O52" s="11" t="str">
        <f>IF(ISNUMBER($L52),"insert into M_CD_VAL_LANG values ("&amp;$L52&amp;", now(), 1, now(), 1, 0, '"&amp;MAX($G$3:$G52)&amp;"', '"&amp;$M52&amp;"', '"&amp;$N52&amp;"');","")</f>
        <v>insert into M_CD_VAL_LANG values (50, now(), 1, now(), 1, 0, '42', 'ja', '韓国料理');</v>
      </c>
      <c r="P52" s="8"/>
      <c r="Q52" s="8"/>
    </row>
    <row r="53" spans="1:17" x14ac:dyDescent="0.15">
      <c r="A53" s="4">
        <f t="shared" si="2"/>
        <v>51</v>
      </c>
      <c r="B53" s="11" t="str">
        <f>IF(ISBLANK($C53),"",MAX($B$1:$B52)+1)</f>
        <v/>
      </c>
      <c r="C53" s="4"/>
      <c r="D53" s="4"/>
      <c r="E53" s="4"/>
      <c r="F53" s="11" t="str">
        <f t="shared" si="3"/>
        <v/>
      </c>
      <c r="G53" s="11">
        <f>IF(ISBLANK($H53),"",MAX($G$1:$G52)+1)</f>
        <v>43</v>
      </c>
      <c r="H53" s="4" t="s">
        <v>178</v>
      </c>
      <c r="I53" s="4" t="s">
        <v>154</v>
      </c>
      <c r="J53" s="4">
        <v>9</v>
      </c>
      <c r="K53" s="11" t="str">
        <f>IF(ISNUMBER($G53),"insert into M_CD_VAL values ("&amp;$G53&amp;", now(), 1, now(), 1, 0, '"&amp;MAX($B$3:$B53)&amp;"', '"&amp;$H53&amp;"', '"&amp;$I53&amp;"', "&amp;J53&amp;");","")</f>
        <v>insert into M_CD_VAL values (43, now(), 1, now(), 1, 0, '11', 'asianfd', 'AsianFood', 9);</v>
      </c>
      <c r="L53" s="11">
        <f>IF(ISBLANK($M53),"",MAX($L$1:$L52)+1)</f>
        <v>51</v>
      </c>
      <c r="M53" s="4" t="s">
        <v>104</v>
      </c>
      <c r="N53" s="4" t="s">
        <v>190</v>
      </c>
      <c r="O53" s="11" t="str">
        <f>IF(ISNUMBER($L53),"insert into M_CD_VAL_LANG values ("&amp;$L53&amp;", now(), 1, now(), 1, 0, '"&amp;MAX($G$3:$G53)&amp;"', '"&amp;$M53&amp;"', '"&amp;$N53&amp;"');","")</f>
        <v>insert into M_CD_VAL_LANG values (51, now(), 1, now(), 1, 0, '43', 'ja', 'アジアン');</v>
      </c>
      <c r="P53" s="8"/>
      <c r="Q53" s="8"/>
    </row>
    <row r="54" spans="1:17" x14ac:dyDescent="0.15">
      <c r="A54" s="4">
        <f t="shared" si="2"/>
        <v>52</v>
      </c>
      <c r="B54" s="11" t="str">
        <f>IF(ISBLANK($C54),"",MAX($B$1:$B53)+1)</f>
        <v/>
      </c>
      <c r="C54" s="4"/>
      <c r="D54" s="4"/>
      <c r="E54" s="4"/>
      <c r="F54" s="11" t="str">
        <f t="shared" si="3"/>
        <v/>
      </c>
      <c r="G54" s="11">
        <f>IF(ISBLANK($H54),"",MAX($G$1:$G53)+1)</f>
        <v>44</v>
      </c>
      <c r="H54" s="4" t="s">
        <v>179</v>
      </c>
      <c r="I54" s="4" t="s">
        <v>180</v>
      </c>
      <c r="J54" s="4">
        <v>10</v>
      </c>
      <c r="K54" s="11" t="str">
        <f>IF(ISNUMBER($G54),"insert into M_CD_VAL values ("&amp;$G54&amp;", now(), 1, now(), 1, 0, '"&amp;MAX($B$3:$B54)&amp;"', '"&amp;$H54&amp;"', '"&amp;$I54&amp;"', "&amp;J54&amp;");","")</f>
        <v>insert into M_CD_VAL values (44, now(), 1, now(), 1, 0, '11', 'europnfd', 'EuropeanFood', 10);</v>
      </c>
      <c r="L54" s="11">
        <f>IF(ISBLANK($M54),"",MAX($L$1:$L53)+1)</f>
        <v>52</v>
      </c>
      <c r="M54" s="4" t="s">
        <v>104</v>
      </c>
      <c r="N54" s="4" t="s">
        <v>191</v>
      </c>
      <c r="O54" s="11" t="str">
        <f>IF(ISNUMBER($L54),"insert into M_CD_VAL_LANG values ("&amp;$L54&amp;", now(), 1, now(), 1, 0, '"&amp;MAX($G$3:$G54)&amp;"', '"&amp;$M54&amp;"', '"&amp;$N54&amp;"');","")</f>
        <v>insert into M_CD_VAL_LANG values (52, now(), 1, now(), 1, 0, '44', 'ja', 'ヨーロッパ料理');</v>
      </c>
      <c r="P54" s="8"/>
      <c r="Q54" s="8"/>
    </row>
    <row r="55" spans="1:17" x14ac:dyDescent="0.15">
      <c r="A55" s="4">
        <f t="shared" si="2"/>
        <v>53</v>
      </c>
      <c r="B55" s="11" t="str">
        <f>IF(ISBLANK($C55),"",MAX($B$1:$B54)+1)</f>
        <v/>
      </c>
      <c r="C55" s="4"/>
      <c r="D55" s="4"/>
      <c r="E55" s="4"/>
      <c r="F55" s="11" t="str">
        <f t="shared" si="3"/>
        <v/>
      </c>
      <c r="G55" s="11">
        <f>IF(ISBLANK($H55),"",MAX($G$1:$G54)+1)</f>
        <v>45</v>
      </c>
      <c r="H55" s="4" t="s">
        <v>177</v>
      </c>
      <c r="I55" s="4" t="s">
        <v>176</v>
      </c>
      <c r="J55" s="4">
        <v>11</v>
      </c>
      <c r="K55" s="11" t="str">
        <f>IF(ISNUMBER($G55),"insert into M_CD_VAL values ("&amp;$G55&amp;", now(), 1, now(), 1, 0, '"&amp;MAX($B$3:$B55)&amp;"', '"&amp;$H55&amp;"', '"&amp;$I55&amp;"', "&amp;J55&amp;");","")</f>
        <v>insert into M_CD_VAL values (45, now(), 1, now(), 1, 0, '11', 'intnlfd', 'InternationalFood', 11);</v>
      </c>
      <c r="L55" s="11">
        <f>IF(ISBLANK($M55),"",MAX($L$1:$L54)+1)</f>
        <v>53</v>
      </c>
      <c r="M55" s="4" t="s">
        <v>104</v>
      </c>
      <c r="N55" s="4" t="s">
        <v>192</v>
      </c>
      <c r="O55" s="11" t="str">
        <f>IF(ISNUMBER($L55),"insert into M_CD_VAL_LANG values ("&amp;$L55&amp;", now(), 1, now(), 1, 0, '"&amp;MAX($G$3:$G55)&amp;"', '"&amp;$M55&amp;"', '"&amp;$N55&amp;"');","")</f>
        <v>insert into M_CD_VAL_LANG values (53, now(), 1, now(), 1, 0, '45', 'ja', '多国籍料理');</v>
      </c>
      <c r="P55" s="8"/>
      <c r="Q55" s="8"/>
    </row>
    <row r="56" spans="1:17" x14ac:dyDescent="0.15">
      <c r="A56" s="4">
        <f t="shared" si="2"/>
        <v>54</v>
      </c>
      <c r="B56" s="11" t="str">
        <f>IF(ISBLANK($C56),"",MAX($B$1:$B55)+1)</f>
        <v/>
      </c>
      <c r="C56" s="4"/>
      <c r="D56" s="4"/>
      <c r="E56" s="4"/>
      <c r="F56" s="11" t="str">
        <f t="shared" si="3"/>
        <v/>
      </c>
      <c r="G56" s="11">
        <f>IF(ISBLANK($H56),"",MAX($G$1:$G55)+1)</f>
        <v>46</v>
      </c>
      <c r="H56" s="4" t="s">
        <v>181</v>
      </c>
      <c r="I56" s="4" t="s">
        <v>182</v>
      </c>
      <c r="J56" s="4">
        <v>12</v>
      </c>
      <c r="K56" s="11" t="str">
        <f>IF(ISNUMBER($G56),"insert into M_CD_VAL values ("&amp;$G56&amp;", now(), 1, now(), 1, 0, '"&amp;MAX($B$3:$B56)&amp;"', '"&amp;$H56&amp;"', '"&amp;$I56&amp;"', "&amp;J56&amp;");","")</f>
        <v>insert into M_CD_VAL values (46, now(), 1, now(), 1, 0, '11', 'ramen', 'Ramen', 12);</v>
      </c>
      <c r="L56" s="11">
        <f>IF(ISBLANK($M56),"",MAX($L$1:$L55)+1)</f>
        <v>54</v>
      </c>
      <c r="M56" s="4" t="s">
        <v>104</v>
      </c>
      <c r="N56" s="4" t="s">
        <v>158</v>
      </c>
      <c r="O56" s="11" t="str">
        <f>IF(ISNUMBER($L56),"insert into M_CD_VAL_LANG values ("&amp;$L56&amp;", now(), 1, now(), 1, 0, '"&amp;MAX($G$3:$G56)&amp;"', '"&amp;$M56&amp;"', '"&amp;$N56&amp;"');","")</f>
        <v>insert into M_CD_VAL_LANG values (54, now(), 1, now(), 1, 0, '46', 'ja', 'ラーメン');</v>
      </c>
      <c r="P56" s="8"/>
      <c r="Q56" s="8"/>
    </row>
    <row r="57" spans="1:17" x14ac:dyDescent="0.15">
      <c r="A57" s="4">
        <f t="shared" si="2"/>
        <v>55</v>
      </c>
      <c r="B57" s="11" t="str">
        <f>IF(ISBLANK($C57),"",MAX($B$1:$B56)+1)</f>
        <v/>
      </c>
      <c r="C57" s="4"/>
      <c r="D57" s="4"/>
      <c r="E57" s="4"/>
      <c r="F57" s="11" t="str">
        <f t="shared" si="3"/>
        <v/>
      </c>
      <c r="G57" s="11">
        <f>IF(ISBLANK($H57),"",MAX($G$1:$G56)+1)</f>
        <v>47</v>
      </c>
      <c r="H57" s="4" t="s">
        <v>186</v>
      </c>
      <c r="I57" s="4" t="s">
        <v>187</v>
      </c>
      <c r="J57" s="4">
        <v>13</v>
      </c>
      <c r="K57" s="11" t="str">
        <f>IF(ISNUMBER($G57),"insert into M_CD_VAL values ("&amp;$G57&amp;", now(), 1, now(), 1, 0, '"&amp;MAX($B$3:$B57)&amp;"', '"&amp;$H57&amp;"', '"&amp;$I57&amp;"', "&amp;J57&amp;");","")</f>
        <v>insert into M_CD_VAL values (47, now(), 1, now(), 1, 0, '11', 'bbq', 'Barbecue', 13);</v>
      </c>
      <c r="L57" s="11">
        <f>IF(ISBLANK($M57),"",MAX($L$1:$L56)+1)</f>
        <v>55</v>
      </c>
      <c r="M57" s="4" t="s">
        <v>104</v>
      </c>
      <c r="N57" s="4" t="s">
        <v>188</v>
      </c>
      <c r="O57" s="11" t="str">
        <f>IF(ISNUMBER($L57),"insert into M_CD_VAL_LANG values ("&amp;$L57&amp;", now(), 1, now(), 1, 0, '"&amp;MAX($G$3:$G57)&amp;"', '"&amp;$M57&amp;"', '"&amp;$N57&amp;"');","")</f>
        <v>insert into M_CD_VAL_LANG values (55, now(), 1, now(), 1, 0, '47', 'ja', '焼き肉');</v>
      </c>
      <c r="P57" s="8"/>
      <c r="Q57" s="8"/>
    </row>
    <row r="58" spans="1:17" x14ac:dyDescent="0.15">
      <c r="A58" s="4">
        <f t="shared" si="2"/>
        <v>56</v>
      </c>
      <c r="B58" s="11" t="str">
        <f>IF(ISBLANK($C58),"",MAX($B$1:$B57)+1)</f>
        <v/>
      </c>
      <c r="C58" s="4"/>
      <c r="D58" s="4"/>
      <c r="E58" s="4"/>
      <c r="F58" s="11" t="str">
        <f t="shared" si="3"/>
        <v/>
      </c>
      <c r="G58" s="11">
        <f>IF(ISBLANK($H58),"",MAX($G$1:$G57)+1)</f>
        <v>48</v>
      </c>
      <c r="H58" s="4" t="s">
        <v>195</v>
      </c>
      <c r="I58" s="4" t="s">
        <v>196</v>
      </c>
      <c r="J58" s="4">
        <v>14</v>
      </c>
      <c r="K58" s="11" t="str">
        <f>IF(ISNUMBER($G58),"insert into M_CD_VAL values ("&amp;$G58&amp;", now(), 1, now(), 1, 0, '"&amp;MAX($B$3:$B58)&amp;"', '"&amp;$H58&amp;"', '"&amp;$I58&amp;"', "&amp;J58&amp;");","")</f>
        <v>insert into M_CD_VAL values (48, now(), 1, now(), 1, 0, '11', 'bar', 'Bar', 14);</v>
      </c>
      <c r="L58" s="11">
        <f>IF(ISBLANK($M58),"",MAX($L$1:$L57)+1)</f>
        <v>56</v>
      </c>
      <c r="M58" s="4" t="s">
        <v>104</v>
      </c>
      <c r="N58" s="4" t="s">
        <v>197</v>
      </c>
      <c r="O58" s="11" t="str">
        <f>IF(ISNUMBER($L58),"insert into M_CD_VAL_LANG values ("&amp;$L58&amp;", now(), 1, now(), 1, 0, '"&amp;MAX($G$3:$G58)&amp;"', '"&amp;$M58&amp;"', '"&amp;$N58&amp;"');","")</f>
        <v>insert into M_CD_VAL_LANG values (56, now(), 1, now(), 1, 0, '48', 'ja', 'バー');</v>
      </c>
      <c r="P58" s="8"/>
      <c r="Q58" s="8"/>
    </row>
    <row r="59" spans="1:17" x14ac:dyDescent="0.15">
      <c r="A59" s="4">
        <f t="shared" si="2"/>
        <v>57</v>
      </c>
      <c r="B59" s="11" t="str">
        <f>IF(ISBLANK($C59),"",MAX($B$1:$B58)+1)</f>
        <v/>
      </c>
      <c r="C59" s="4"/>
      <c r="D59" s="4"/>
      <c r="E59" s="4"/>
      <c r="F59" s="11" t="str">
        <f t="shared" si="3"/>
        <v/>
      </c>
      <c r="G59" s="11">
        <f>IF(ISBLANK($H59),"",MAX($G$1:$G58)+1)</f>
        <v>49</v>
      </c>
      <c r="H59" s="4" t="s">
        <v>184</v>
      </c>
      <c r="I59" s="4" t="s">
        <v>183</v>
      </c>
      <c r="J59" s="4">
        <v>15</v>
      </c>
      <c r="K59" s="11" t="str">
        <f>IF(ISNUMBER($G59),"insert into M_CD_VAL values ("&amp;$G59&amp;", now(), 1, now(), 1, 0, '"&amp;MAX($B$3:$B59)&amp;"', '"&amp;$H59&amp;"', '"&amp;$I59&amp;"', "&amp;J59&amp;");","")</f>
        <v>insert into M_CD_VAL values (49, now(), 1, now(), 1, 0, '11', 'cafsweet', 'CafeAndSweets', 15);</v>
      </c>
      <c r="L59" s="11">
        <f>IF(ISBLANK($M59),"",MAX($L$1:$L58)+1)</f>
        <v>57</v>
      </c>
      <c r="M59" s="4" t="s">
        <v>104</v>
      </c>
      <c r="N59" s="4" t="s">
        <v>159</v>
      </c>
      <c r="O59" s="11" t="str">
        <f>IF(ISNUMBER($L59),"insert into M_CD_VAL_LANG values ("&amp;$L59&amp;", now(), 1, now(), 1, 0, '"&amp;MAX($G$3:$G59)&amp;"', '"&amp;$M59&amp;"', '"&amp;$N59&amp;"');","")</f>
        <v>insert into M_CD_VAL_LANG values (57, now(), 1, now(), 1, 0, '49', 'ja', 'カフェ・スイーツ');</v>
      </c>
      <c r="P59" s="8"/>
      <c r="Q59" s="8"/>
    </row>
    <row r="60" spans="1:17" x14ac:dyDescent="0.15">
      <c r="A60" s="4">
        <f t="shared" si="2"/>
        <v>58</v>
      </c>
      <c r="B60" s="11" t="str">
        <f>IF(ISBLANK($C60),"",MAX($B$1:$B59)+1)</f>
        <v/>
      </c>
      <c r="C60" s="4"/>
      <c r="D60" s="4"/>
      <c r="E60" s="4"/>
      <c r="F60" s="11" t="str">
        <f t="shared" si="3"/>
        <v/>
      </c>
      <c r="G60" s="11">
        <f>IF(ISBLANK($H60),"",MAX($G$1:$G59)+1)</f>
        <v>50</v>
      </c>
      <c r="H60" s="4" t="s">
        <v>132</v>
      </c>
      <c r="I60" s="4" t="s">
        <v>130</v>
      </c>
      <c r="J60" s="4">
        <v>16</v>
      </c>
      <c r="K60" s="11" t="str">
        <f>IF(ISNUMBER($G60),"insert into M_CD_VAL values ("&amp;$G60&amp;", now(), 1, now(), 1, 0, '"&amp;MAX($B$3:$B60)&amp;"', '"&amp;$H60&amp;"', '"&amp;$I60&amp;"', "&amp;J60&amp;");","")</f>
        <v>insert into M_CD_VAL values (50, now(), 1, now(), 1, 0, '11', 'other', 'Other', 16);</v>
      </c>
      <c r="L60" s="11">
        <f>IF(ISBLANK($M60),"",MAX($L$1:$L59)+1)</f>
        <v>58</v>
      </c>
      <c r="M60" s="4" t="s">
        <v>104</v>
      </c>
      <c r="N60" s="4" t="s">
        <v>185</v>
      </c>
      <c r="O60" s="11" t="str">
        <f>IF(ISNUMBER($L60),"insert into M_CD_VAL_LANG values ("&amp;$L60&amp;", now(), 1, now(), 1, 0, '"&amp;MAX($G$3:$G60)&amp;"', '"&amp;$M60&amp;"', '"&amp;$N60&amp;"');","")</f>
        <v>insert into M_CD_VAL_LANG values (58, now(), 1, now(), 1, 0, '50', 'ja', 'その他');</v>
      </c>
      <c r="P60" s="8"/>
      <c r="Q60" s="8"/>
    </row>
    <row r="61" spans="1:17" x14ac:dyDescent="0.15">
      <c r="A61" s="4">
        <f t="shared" si="2"/>
        <v>59</v>
      </c>
      <c r="B61" s="11">
        <f>IF(ISBLANK($C61),"",MAX($B$1:$B60)+1)</f>
        <v>12</v>
      </c>
      <c r="C61" s="4" t="s">
        <v>118</v>
      </c>
      <c r="D61" s="4" t="s">
        <v>119</v>
      </c>
      <c r="E61" s="4"/>
      <c r="F61" s="11" t="str">
        <f t="shared" si="3"/>
        <v>insert into M_CD_GRP values (12, now(), 1, now(), 1, 0, 'ShopGenre', '買うジャンル', '');</v>
      </c>
      <c r="G61" s="11">
        <f>IF(ISBLANK($H61),"",MAX($G$1:$G60)+1)</f>
        <v>51</v>
      </c>
      <c r="H61" s="4" t="s">
        <v>199</v>
      </c>
      <c r="I61" s="4" t="s">
        <v>198</v>
      </c>
      <c r="J61" s="4">
        <v>1</v>
      </c>
      <c r="K61" s="11" t="str">
        <f>IF(ISNUMBER($G61),"insert into M_CD_VAL values ("&amp;$G61&amp;", now(), 1, now(), 1, 0, '"&amp;MAX($B$3:$B61)&amp;"', '"&amp;$H61&amp;"', '"&amp;$I61&amp;"', "&amp;J61&amp;");","")</f>
        <v>insert into M_CD_VAL values (51, now(), 1, now(), 1, 0, '12', 'books', 'Books', 1);</v>
      </c>
      <c r="L61" s="11">
        <f>IF(ISBLANK($M61),"",MAX($L$1:$L60)+1)</f>
        <v>59</v>
      </c>
      <c r="M61" s="4" t="s">
        <v>104</v>
      </c>
      <c r="N61" s="4" t="s">
        <v>204</v>
      </c>
      <c r="O61" s="11" t="str">
        <f>IF(ISNUMBER($L61),"insert into M_CD_VAL_LANG values ("&amp;$L61&amp;", now(), 1, now(), 1, 0, '"&amp;MAX($G$3:$G61)&amp;"', '"&amp;$M61&amp;"', '"&amp;$N61&amp;"');","")</f>
        <v>insert into M_CD_VAL_LANG values (59, now(), 1, now(), 1, 0, '51', 'ja', '本・雑誌・コミック');</v>
      </c>
      <c r="P61" s="8"/>
      <c r="Q61" s="8"/>
    </row>
    <row r="62" spans="1:17" x14ac:dyDescent="0.15">
      <c r="A62" s="4">
        <f t="shared" si="2"/>
        <v>60</v>
      </c>
      <c r="B62" s="11" t="str">
        <f>IF(ISBLANK($C62),"",MAX($B$1:$B61)+1)</f>
        <v/>
      </c>
      <c r="C62" s="4"/>
      <c r="D62" s="4"/>
      <c r="E62" s="4"/>
      <c r="F62" s="11" t="str">
        <f t="shared" si="3"/>
        <v/>
      </c>
      <c r="G62" s="11">
        <f>IF(ISBLANK($H62),"",MAX($G$1:$G61)+1)</f>
        <v>52</v>
      </c>
      <c r="H62" s="4" t="s">
        <v>201</v>
      </c>
      <c r="I62" s="4" t="s">
        <v>200</v>
      </c>
      <c r="J62" s="4">
        <v>2</v>
      </c>
      <c r="K62" s="11" t="str">
        <f>IF(ISNUMBER($G62),"insert into M_CD_VAL values ("&amp;$G62&amp;", now(), 1, now(), 1, 0, '"&amp;MAX($B$3:$B62)&amp;"', '"&amp;$H62&amp;"', '"&amp;$I62&amp;"', "&amp;J62&amp;");","")</f>
        <v>insert into M_CD_VAL values (52, now(), 1, now(), 1, 0, '12', 'dvdmscgm', 'DvdMusicGames', 2);</v>
      </c>
      <c r="L62" s="11">
        <f>IF(ISBLANK($M62),"",MAX($L$1:$L61)+1)</f>
        <v>60</v>
      </c>
      <c r="M62" s="4" t="s">
        <v>104</v>
      </c>
      <c r="N62" s="4" t="s">
        <v>205</v>
      </c>
      <c r="O62" s="11" t="str">
        <f>IF(ISNUMBER($L62),"insert into M_CD_VAL_LANG values ("&amp;$L62&amp;", now(), 1, now(), 1, 0, '"&amp;MAX($G$3:$G62)&amp;"', '"&amp;$M62&amp;"', '"&amp;$N62&amp;"');","")</f>
        <v>insert into M_CD_VAL_LANG values (60, now(), 1, now(), 1, 0, '52', 'ja', 'DVD・音楽CD・ゲーム');</v>
      </c>
      <c r="P62" s="8"/>
      <c r="Q62" s="8"/>
    </row>
    <row r="63" spans="1:17" x14ac:dyDescent="0.15">
      <c r="A63" s="4">
        <f t="shared" si="2"/>
        <v>61</v>
      </c>
      <c r="B63" s="11" t="str">
        <f>IF(ISBLANK($C63),"",MAX($B$1:$B62)+1)</f>
        <v/>
      </c>
      <c r="C63" s="4"/>
      <c r="D63" s="4"/>
      <c r="E63" s="4"/>
      <c r="F63" s="11" t="str">
        <f t="shared" si="3"/>
        <v/>
      </c>
      <c r="G63" s="11">
        <f>IF(ISBLANK($H63),"",MAX($G$1:$G62)+1)</f>
        <v>53</v>
      </c>
      <c r="H63" s="4" t="s">
        <v>216</v>
      </c>
      <c r="I63" s="4" t="s">
        <v>226</v>
      </c>
      <c r="J63" s="4">
        <v>3</v>
      </c>
      <c r="K63" s="11" t="str">
        <f>IF(ISNUMBER($G63),"insert into M_CD_VAL values ("&amp;$G63&amp;", now(), 1, now(), 1, 0, '"&amp;MAX($B$3:$B63)&amp;"', '"&amp;$H63&amp;"', '"&amp;$I63&amp;"', "&amp;J63&amp;");","")</f>
        <v>insert into M_CD_VAL values (53, now(), 1, now(), 1, 0, '12', 'toyhobby', 'ToyHobby', 3);</v>
      </c>
      <c r="L63" s="11">
        <f>IF(ISBLANK($M63),"",MAX($L$1:$L62)+1)</f>
        <v>61</v>
      </c>
      <c r="M63" s="4" t="s">
        <v>104</v>
      </c>
      <c r="N63" s="4" t="s">
        <v>206</v>
      </c>
      <c r="O63" s="11" t="str">
        <f>IF(ISNUMBER($L63),"insert into M_CD_VAL_LANG values ("&amp;$L63&amp;", now(), 1, now(), 1, 0, '"&amp;MAX($G$3:$G63)&amp;"', '"&amp;$M63&amp;"', '"&amp;$N63&amp;"');","")</f>
        <v>insert into M_CD_VAL_LANG values (61, now(), 1, now(), 1, 0, '53', 'ja', 'おもちゃ・ホビー');</v>
      </c>
      <c r="P63" s="8"/>
      <c r="Q63" s="8"/>
    </row>
    <row r="64" spans="1:17" x14ac:dyDescent="0.15">
      <c r="A64" s="4">
        <f t="shared" si="2"/>
        <v>62</v>
      </c>
      <c r="B64" s="11" t="str">
        <f>IF(ISBLANK($C64),"",MAX($B$1:$B63)+1)</f>
        <v/>
      </c>
      <c r="C64" s="4"/>
      <c r="D64" s="4"/>
      <c r="E64" s="4"/>
      <c r="F64" s="11" t="str">
        <f t="shared" si="3"/>
        <v/>
      </c>
      <c r="G64" s="11">
        <f>IF(ISBLANK($H64),"",MAX($G$1:$G63)+1)</f>
        <v>54</v>
      </c>
      <c r="H64" s="4" t="s">
        <v>217</v>
      </c>
      <c r="I64" s="4" t="s">
        <v>215</v>
      </c>
      <c r="J64" s="4">
        <v>4</v>
      </c>
      <c r="K64" s="11" t="str">
        <f>IF(ISNUMBER($G64),"insert into M_CD_VAL values ("&amp;$G64&amp;", now(), 1, now(), 1, 0, '"&amp;MAX($B$3:$B64)&amp;"', '"&amp;$H64&amp;"', '"&amp;$I64&amp;"', "&amp;J64&amp;");","")</f>
        <v>insert into M_CD_VAL values (54, now(), 1, now(), 1, 0, '12', 'babywear', 'BabyWear', 4);</v>
      </c>
      <c r="L64" s="11">
        <f>IF(ISBLANK($M64),"",MAX($L$1:$L63)+1)</f>
        <v>62</v>
      </c>
      <c r="M64" s="4" t="s">
        <v>104</v>
      </c>
      <c r="N64" s="4" t="s">
        <v>207</v>
      </c>
      <c r="O64" s="11" t="str">
        <f>IF(ISNUMBER($L64),"insert into M_CD_VAL_LANG values ("&amp;$L64&amp;", now(), 1, now(), 1, 0, '"&amp;MAX($G$3:$G64)&amp;"', '"&amp;$M64&amp;"', '"&amp;$N64&amp;"');","")</f>
        <v>insert into M_CD_VAL_LANG values (62, now(), 1, now(), 1, 0, '54', 'ja', '赤ちゃん用品');</v>
      </c>
      <c r="P64" s="8"/>
      <c r="Q64" s="8"/>
    </row>
    <row r="65" spans="1:17" x14ac:dyDescent="0.15">
      <c r="A65" s="4">
        <f t="shared" si="2"/>
        <v>63</v>
      </c>
      <c r="B65" s="11" t="str">
        <f>IF(ISBLANK($C65),"",MAX($B$1:$B64)+1)</f>
        <v/>
      </c>
      <c r="C65" s="4"/>
      <c r="D65" s="4"/>
      <c r="E65" s="4"/>
      <c r="F65" s="11" t="str">
        <f t="shared" si="3"/>
        <v/>
      </c>
      <c r="G65" s="11">
        <f>IF(ISBLANK($H65),"",MAX($G$1:$G64)+1)</f>
        <v>55</v>
      </c>
      <c r="H65" s="4" t="s">
        <v>220</v>
      </c>
      <c r="I65" s="4" t="s">
        <v>230</v>
      </c>
      <c r="J65" s="4">
        <v>5</v>
      </c>
      <c r="K65" s="11" t="str">
        <f>IF(ISNUMBER($G65),"insert into M_CD_VAL values ("&amp;$G65&amp;", now(), 1, now(), 1, 0, '"&amp;MAX($B$3:$B65)&amp;"', '"&amp;$H65&amp;"', '"&amp;$I65&amp;"', "&amp;J65&amp;");","")</f>
        <v>insert into M_CD_VAL values (55, now(), 1, now(), 1, 0, '12', 'furnkitc', 'FurnitureKitchen', 5);</v>
      </c>
      <c r="L65" s="11">
        <f>IF(ISBLANK($M65),"",MAX($L$1:$L64)+1)</f>
        <v>63</v>
      </c>
      <c r="M65" s="4" t="s">
        <v>104</v>
      </c>
      <c r="N65" s="4" t="s">
        <v>213</v>
      </c>
      <c r="O65" s="11" t="str">
        <f>IF(ISNUMBER($L65),"insert into M_CD_VAL_LANG values ("&amp;$L65&amp;", now(), 1, now(), 1, 0, '"&amp;MAX($G$3:$G65)&amp;"', '"&amp;$M65&amp;"', '"&amp;$N65&amp;"');","")</f>
        <v>insert into M_CD_VAL_LANG values (63, now(), 1, now(), 1, 0, '55', 'ja', '家具・キッチン雑貨');</v>
      </c>
      <c r="P65" s="8"/>
      <c r="Q65" s="8"/>
    </row>
    <row r="66" spans="1:17" x14ac:dyDescent="0.15">
      <c r="A66" s="4">
        <f t="shared" si="2"/>
        <v>64</v>
      </c>
      <c r="B66" s="11" t="str">
        <f>IF(ISBLANK($C66),"",MAX($B$1:$B65)+1)</f>
        <v/>
      </c>
      <c r="C66" s="4"/>
      <c r="D66" s="4"/>
      <c r="E66" s="4"/>
      <c r="F66" s="11" t="str">
        <f t="shared" si="3"/>
        <v/>
      </c>
      <c r="G66" s="11">
        <f>IF(ISBLANK($H66),"",MAX($G$1:$G65)+1)</f>
        <v>56</v>
      </c>
      <c r="H66" s="4" t="s">
        <v>221</v>
      </c>
      <c r="I66" s="4" t="s">
        <v>203</v>
      </c>
      <c r="J66" s="4">
        <v>6</v>
      </c>
      <c r="K66" s="11" t="str">
        <f>IF(ISNUMBER($G66),"insert into M_CD_VAL values ("&amp;$G66&amp;", now(), 1, now(), 1, 0, '"&amp;MAX($B$3:$B66)&amp;"', '"&amp;$H66&amp;"', '"&amp;$I66&amp;"', "&amp;J66&amp;");","")</f>
        <v>insert into M_CD_VAL values (56, now(), 1, now(), 1, 0, '12', 'fashnwr', 'FashionWear', 6);</v>
      </c>
      <c r="L66" s="11">
        <f>IF(ISBLANK($M66),"",MAX($L$1:$L65)+1)</f>
        <v>64</v>
      </c>
      <c r="M66" s="4" t="s">
        <v>104</v>
      </c>
      <c r="N66" s="4" t="s">
        <v>209</v>
      </c>
      <c r="O66" s="11" t="str">
        <f>IF(ISNUMBER($L66),"insert into M_CD_VAL_LANG values ("&amp;$L66&amp;", now(), 1, now(), 1, 0, '"&amp;MAX($G$3:$G66)&amp;"', '"&amp;$M66&amp;"', '"&amp;$N66&amp;"');","")</f>
        <v>insert into M_CD_VAL_LANG values (64, now(), 1, now(), 1, 0, '56', 'ja', 'ファッション・雑貨');</v>
      </c>
      <c r="P66" s="8"/>
      <c r="Q66" s="8"/>
    </row>
    <row r="67" spans="1:17" x14ac:dyDescent="0.15">
      <c r="A67" s="4">
        <f t="shared" ref="A67:A87" si="4">ROW()-2</f>
        <v>65</v>
      </c>
      <c r="B67" s="11" t="str">
        <f>IF(ISBLANK($C67),"",MAX($B$1:$B66)+1)</f>
        <v/>
      </c>
      <c r="C67" s="4"/>
      <c r="D67" s="4"/>
      <c r="E67" s="4"/>
      <c r="F67" s="11" t="str">
        <f t="shared" ref="F67:F87" si="5">IF(ISNUMBER($B67),"insert into M_CD_GRP values ("&amp;$B67&amp;", now(), 1, now(), 1, 0, '"&amp;$C67&amp;"', '"&amp;$D67&amp;"', '"&amp;$E67&amp;"');","")</f>
        <v/>
      </c>
      <c r="G67" s="11">
        <f>IF(ISBLANK($H67),"",MAX($G$1:$G66)+1)</f>
        <v>57</v>
      </c>
      <c r="H67" s="4" t="s">
        <v>222</v>
      </c>
      <c r="I67" s="4" t="s">
        <v>227</v>
      </c>
      <c r="J67" s="4">
        <v>7</v>
      </c>
      <c r="K67" s="11" t="str">
        <f>IF(ISNUMBER($G67),"insert into M_CD_VAL values ("&amp;$G67&amp;", now(), 1, now(), 1, 0, '"&amp;MAX($B$3:$B67)&amp;"', '"&amp;$H67&amp;"', '"&amp;$I67&amp;"', "&amp;J67&amp;");","")</f>
        <v>insert into M_CD_VAL values (57, now(), 1, now(), 1, 0, '12', 'sprtotdr', 'SportsOutdoors', 7);</v>
      </c>
      <c r="L67" s="11">
        <f>IF(ISBLANK($M67),"",MAX($L$1:$L66)+1)</f>
        <v>65</v>
      </c>
      <c r="M67" s="4" t="s">
        <v>104</v>
      </c>
      <c r="N67" s="4" t="s">
        <v>214</v>
      </c>
      <c r="O67" s="11" t="str">
        <f>IF(ISNUMBER($L67),"insert into M_CD_VAL_LANG values ("&amp;$L67&amp;", now(), 1, now(), 1, 0, '"&amp;MAX($G$3:$G67)&amp;"', '"&amp;$M67&amp;"', '"&amp;$N67&amp;"');","")</f>
        <v>insert into M_CD_VAL_LANG values (65, now(), 1, now(), 1, 0, '57', 'ja', 'スポーツ・アウトドア');</v>
      </c>
      <c r="P67" s="8"/>
      <c r="Q67" s="8"/>
    </row>
    <row r="68" spans="1:17" x14ac:dyDescent="0.15">
      <c r="A68" s="4">
        <f t="shared" si="4"/>
        <v>66</v>
      </c>
      <c r="B68" s="11" t="str">
        <f>IF(ISBLANK($C68),"",MAX($B$1:$B67)+1)</f>
        <v/>
      </c>
      <c r="C68" s="4"/>
      <c r="D68" s="4"/>
      <c r="E68" s="4"/>
      <c r="F68" s="11" t="str">
        <f t="shared" si="5"/>
        <v/>
      </c>
      <c r="G68" s="11">
        <f>IF(ISBLANK($H68),"",MAX($G$1:$G67)+1)</f>
        <v>58</v>
      </c>
      <c r="H68" s="4" t="s">
        <v>219</v>
      </c>
      <c r="I68" s="4" t="s">
        <v>228</v>
      </c>
      <c r="J68" s="4">
        <v>8</v>
      </c>
      <c r="K68" s="11" t="str">
        <f>IF(ISNUMBER($G68),"insert into M_CD_VAL values ("&amp;$G68&amp;", now(), 1, now(), 1, 0, '"&amp;MAX($B$3:$B68)&amp;"', '"&amp;$H68&amp;"', '"&amp;$I68&amp;"', "&amp;J68&amp;");","")</f>
        <v>insert into M_CD_VAL values (58, now(), 1, now(), 1, 0, '12', 'hlthbty', 'DrugHeathBeauty', 8);</v>
      </c>
      <c r="L68" s="11">
        <f>IF(ISBLANK($M68),"",MAX($L$1:$L67)+1)</f>
        <v>66</v>
      </c>
      <c r="M68" s="4" t="s">
        <v>104</v>
      </c>
      <c r="N68" s="4" t="s">
        <v>210</v>
      </c>
      <c r="O68" s="11" t="str">
        <f>IF(ISNUMBER($L68),"insert into M_CD_VAL_LANG values ("&amp;$L68&amp;", now(), 1, now(), 1, 0, '"&amp;MAX($G$3:$G68)&amp;"', '"&amp;$M68&amp;"', '"&amp;$N68&amp;"');","")</f>
        <v>insert into M_CD_VAL_LANG values (66, now(), 1, now(), 1, 0, '58', 'ja', '薬品・健康・美容');</v>
      </c>
      <c r="P68" s="8"/>
      <c r="Q68" s="8"/>
    </row>
    <row r="69" spans="1:17" x14ac:dyDescent="0.15">
      <c r="A69" s="4">
        <f t="shared" si="4"/>
        <v>67</v>
      </c>
      <c r="B69" s="11" t="str">
        <f>IF(ISBLANK($C69),"",MAX($B$1:$B68)+1)</f>
        <v/>
      </c>
      <c r="C69" s="4"/>
      <c r="D69" s="4"/>
      <c r="E69" s="4"/>
      <c r="F69" s="11" t="str">
        <f t="shared" si="5"/>
        <v/>
      </c>
      <c r="G69" s="11">
        <f>IF(ISBLANK($H69),"",MAX($G$1:$G68)+1)</f>
        <v>59</v>
      </c>
      <c r="H69" s="4" t="s">
        <v>223</v>
      </c>
      <c r="I69" s="4" t="s">
        <v>229</v>
      </c>
      <c r="J69" s="4">
        <v>9</v>
      </c>
      <c r="K69" s="11" t="str">
        <f>IF(ISNUMBER($G69),"insert into M_CD_VAL values ("&amp;$G69&amp;", now(), 1, now(), 1, 0, '"&amp;MAX($B$3:$B69)&amp;"', '"&amp;$H69&amp;"', '"&amp;$I69&amp;"', "&amp;J69&amp;");","")</f>
        <v>insert into M_CD_VAL values (59, now(), 1, now(), 1, 0, '12', 'eleccomp', 'ElectronicsComputers', 9);</v>
      </c>
      <c r="L69" s="11">
        <f>IF(ISBLANK($M69),"",MAX($L$1:$L68)+1)</f>
        <v>67</v>
      </c>
      <c r="M69" s="4" t="s">
        <v>104</v>
      </c>
      <c r="N69" s="4" t="s">
        <v>208</v>
      </c>
      <c r="O69" s="11" t="str">
        <f>IF(ISNUMBER($L69),"insert into M_CD_VAL_LANG values ("&amp;$L69&amp;", now(), 1, now(), 1, 0, '"&amp;MAX($G$3:$G69)&amp;"', '"&amp;$M69&amp;"', '"&amp;$N69&amp;"');","")</f>
        <v>insert into M_CD_VAL_LANG values (67, now(), 1, now(), 1, 0, '59', 'ja', '家電・パソコン・AV機器');</v>
      </c>
      <c r="P69" s="8"/>
      <c r="Q69" s="8"/>
    </row>
    <row r="70" spans="1:17" x14ac:dyDescent="0.15">
      <c r="A70" s="4">
        <f t="shared" si="4"/>
        <v>68</v>
      </c>
      <c r="B70" s="11" t="str">
        <f>IF(ISBLANK($C70),"",MAX($B$1:$B69)+1)</f>
        <v/>
      </c>
      <c r="C70" s="4"/>
      <c r="D70" s="4"/>
      <c r="E70" s="4"/>
      <c r="F70" s="11" t="str">
        <f t="shared" si="5"/>
        <v/>
      </c>
      <c r="G70" s="11">
        <f>IF(ISBLANK($H70),"",MAX($G$1:$G69)+1)</f>
        <v>60</v>
      </c>
      <c r="H70" s="4" t="s">
        <v>225</v>
      </c>
      <c r="I70" s="4" t="s">
        <v>224</v>
      </c>
      <c r="J70" s="4">
        <v>10</v>
      </c>
      <c r="K70" s="11" t="str">
        <f>IF(ISNUMBER($G70),"insert into M_CD_VAL values ("&amp;$G70&amp;", now(), 1, now(), 1, 0, '"&amp;MAX($B$3:$B70)&amp;"', '"&amp;$H70&amp;"', '"&amp;$I70&amp;"', "&amp;J70&amp;");","")</f>
        <v>insert into M_CD_VAL values (60, now(), 1, now(), 1, 0, '12', 'souvenir', 'Souvenir', 10);</v>
      </c>
      <c r="L70" s="11">
        <f>IF(ISBLANK($M70),"",MAX($L$1:$L69)+1)</f>
        <v>68</v>
      </c>
      <c r="M70" s="4" t="s">
        <v>104</v>
      </c>
      <c r="N70" s="4" t="s">
        <v>211</v>
      </c>
      <c r="O70" s="11" t="str">
        <f>IF(ISNUMBER($L70),"insert into M_CD_VAL_LANG values ("&amp;$L70&amp;", now(), 1, now(), 1, 0, '"&amp;MAX($G$3:$G70)&amp;"', '"&amp;$M70&amp;"', '"&amp;$N70&amp;"');","")</f>
        <v>insert into M_CD_VAL_LANG values (68, now(), 1, now(), 1, 0, '60', 'ja', 'おみやげ・民芸品');</v>
      </c>
      <c r="P70" s="8"/>
      <c r="Q70" s="8"/>
    </row>
    <row r="71" spans="1:17" x14ac:dyDescent="0.15">
      <c r="A71" s="4">
        <f t="shared" si="4"/>
        <v>69</v>
      </c>
      <c r="B71" s="11" t="str">
        <f>IF(ISBLANK($C71),"",MAX($B$1:$B70)+1)</f>
        <v/>
      </c>
      <c r="C71" s="4"/>
      <c r="D71" s="4"/>
      <c r="E71" s="4"/>
      <c r="F71" s="11" t="str">
        <f t="shared" si="5"/>
        <v/>
      </c>
      <c r="G71" s="11">
        <f>IF(ISBLANK($H71),"",MAX($G$1:$G70)+1)</f>
        <v>61</v>
      </c>
      <c r="H71" s="4" t="s">
        <v>218</v>
      </c>
      <c r="I71" s="4" t="s">
        <v>202</v>
      </c>
      <c r="J71" s="4">
        <v>11</v>
      </c>
      <c r="K71" s="11" t="str">
        <f>IF(ISNUMBER($G71),"insert into M_CD_VAL values ("&amp;$G71&amp;", now(), 1, now(), 1, 0, '"&amp;MAX($B$3:$B71)&amp;"', '"&amp;$H71&amp;"', '"&amp;$I71&amp;"', "&amp;J71&amp;");","")</f>
        <v>insert into M_CD_VAL values (61, now(), 1, now(), 1, 0, '12', 'fddrkalc', 'FoodDrinkAlchohol', 11);</v>
      </c>
      <c r="L71" s="11">
        <f>IF(ISBLANK($M71),"",MAX($L$1:$L70)+1)</f>
        <v>69</v>
      </c>
      <c r="M71" s="4" t="s">
        <v>104</v>
      </c>
      <c r="N71" s="4" t="s">
        <v>212</v>
      </c>
      <c r="O71" s="11" t="str">
        <f>IF(ISNUMBER($L71),"insert into M_CD_VAL_LANG values ("&amp;$L71&amp;", now(), 1, now(), 1, 0, '"&amp;MAX($G$3:$G71)&amp;"', '"&amp;$M71&amp;"', '"&amp;$N71&amp;"');","")</f>
        <v>insert into M_CD_VAL_LANG values (69, now(), 1, now(), 1, 0, '61', 'ja', '食料品・お酒');</v>
      </c>
      <c r="P71" s="8"/>
      <c r="Q71" s="8"/>
    </row>
    <row r="72" spans="1:17" x14ac:dyDescent="0.15">
      <c r="A72" s="4">
        <f t="shared" si="4"/>
        <v>70</v>
      </c>
      <c r="B72" s="11" t="str">
        <f>IF(ISBLANK($C72),"",MAX($B$1:$B71)+1)</f>
        <v/>
      </c>
      <c r="C72" s="4"/>
      <c r="D72" s="4"/>
      <c r="E72" s="4"/>
      <c r="F72" s="11" t="str">
        <f t="shared" si="5"/>
        <v/>
      </c>
      <c r="G72" s="11">
        <f>IF(ISBLANK($H72),"",MAX($G$1:$G71)+1)</f>
        <v>62</v>
      </c>
      <c r="H72" s="4" t="s">
        <v>133</v>
      </c>
      <c r="I72" s="4" t="s">
        <v>131</v>
      </c>
      <c r="J72" s="4">
        <v>12</v>
      </c>
      <c r="K72" s="11" t="str">
        <f>IF(ISNUMBER($G72),"insert into M_CD_VAL values ("&amp;$G72&amp;", now(), 1, now(), 1, 0, '"&amp;MAX($B$3:$B72)&amp;"', '"&amp;$H72&amp;"', '"&amp;$I72&amp;"', "&amp;J72&amp;");","")</f>
        <v>insert into M_CD_VAL values (62, now(), 1, now(), 1, 0, '12', 'other', 'Other', 12);</v>
      </c>
      <c r="L72" s="11">
        <f>IF(ISBLANK($M72),"",MAX($L$1:$L71)+1)</f>
        <v>70</v>
      </c>
      <c r="M72" s="4" t="s">
        <v>104</v>
      </c>
      <c r="N72" s="4" t="s">
        <v>124</v>
      </c>
      <c r="O72" s="11" t="str">
        <f>IF(ISNUMBER($L72),"insert into M_CD_VAL_LANG values ("&amp;$L72&amp;", now(), 1, now(), 1, 0, '"&amp;MAX($G$3:$G72)&amp;"', '"&amp;$M72&amp;"', '"&amp;$N72&amp;"');","")</f>
        <v>insert into M_CD_VAL_LANG values (70, now(), 1, now(), 1, 0, '62', 'ja', 'その他');</v>
      </c>
      <c r="P72" s="8"/>
      <c r="Q72" s="8"/>
    </row>
    <row r="73" spans="1:17" x14ac:dyDescent="0.15">
      <c r="A73" s="4">
        <f t="shared" si="4"/>
        <v>71</v>
      </c>
      <c r="B73" s="11">
        <f>IF(ISBLANK($C73),"",MAX($B$1:$B72)+1)</f>
        <v>13</v>
      </c>
      <c r="C73" s="4" t="s">
        <v>256</v>
      </c>
      <c r="D73" s="4" t="s">
        <v>255</v>
      </c>
      <c r="E73" s="4"/>
      <c r="F73" s="11" t="str">
        <f t="shared" si="5"/>
        <v>insert into M_CD_GRP values (13, now(), 1, now(), 1, 0, 'PlaySeeGenre', '遊ぶ・見るジャンル', '');</v>
      </c>
      <c r="G73" s="11">
        <f>IF(ISBLANK($H73),"",MAX($G$1:$G72)+1)</f>
        <v>63</v>
      </c>
      <c r="H73" s="4" t="s">
        <v>237</v>
      </c>
      <c r="I73" s="4" t="s">
        <v>236</v>
      </c>
      <c r="J73" s="4">
        <v>1</v>
      </c>
      <c r="K73" s="11" t="str">
        <f>IF(ISNUMBER($G73),"insert into M_CD_VAL values ("&amp;$G73&amp;", now(), 1, now(), 1, 0, '"&amp;MAX($B$3:$B73)&amp;"', '"&amp;$H73&amp;"', '"&amp;$I73&amp;"', "&amp;J73&amp;");","")</f>
        <v>insert into M_CD_VAL values (63, now(), 1, now(), 1, 0, '13', 'thempark', 'ThemeParks', 1);</v>
      </c>
      <c r="L73" s="11">
        <f>IF(ISBLANK($M73),"",MAX($L$1:$L72)+1)</f>
        <v>71</v>
      </c>
      <c r="M73" s="4" t="s">
        <v>104</v>
      </c>
      <c r="N73" s="4" t="s">
        <v>120</v>
      </c>
      <c r="O73" s="11" t="str">
        <f>IF(ISNUMBER($L73),"insert into M_CD_VAL_LANG values ("&amp;$L73&amp;", now(), 1, now(), 1, 0, '"&amp;MAX($G$3:$G73)&amp;"', '"&amp;$M73&amp;"', '"&amp;$N73&amp;"');","")</f>
        <v>insert into M_CD_VAL_LANG values (71, now(), 1, now(), 1, 0, '63', 'ja', '遊園地・テーマパーク');</v>
      </c>
      <c r="P73" s="8"/>
      <c r="Q73" s="8"/>
    </row>
    <row r="74" spans="1:17" x14ac:dyDescent="0.15">
      <c r="A74" s="4">
        <f t="shared" si="4"/>
        <v>72</v>
      </c>
      <c r="B74" s="11" t="str">
        <f>IF(ISBLANK($C74),"",MAX($B$1:$B73)+1)</f>
        <v/>
      </c>
      <c r="C74" s="4"/>
      <c r="D74" s="4"/>
      <c r="E74" s="4"/>
      <c r="F74" s="11" t="str">
        <f t="shared" si="5"/>
        <v/>
      </c>
      <c r="G74" s="11">
        <f>IF(ISBLANK($H74),"",MAX($G$1:$G73)+1)</f>
        <v>64</v>
      </c>
      <c r="H74" s="4" t="s">
        <v>239</v>
      </c>
      <c r="I74" s="4" t="s">
        <v>238</v>
      </c>
      <c r="J74" s="4">
        <v>2</v>
      </c>
      <c r="K74" s="11" t="str">
        <f>IF(ISNUMBER($G74),"insert into M_CD_VAL values ("&amp;$G74&amp;", now(), 1, now(), 1, 0, '"&amp;MAX($B$3:$B74)&amp;"', '"&amp;$H74&amp;"', '"&amp;$I74&amp;"', "&amp;J74&amp;");","")</f>
        <v>insert into M_CD_VAL values (64, now(), 1, now(), 1, 0, '13', 'pkcmpbch', 'ParkCampBeach', 2);</v>
      </c>
      <c r="L74" s="11">
        <f>IF(ISBLANK($M74),"",MAX($L$1:$L73)+1)</f>
        <v>72</v>
      </c>
      <c r="M74" s="4" t="s">
        <v>104</v>
      </c>
      <c r="N74" s="4" t="s">
        <v>234</v>
      </c>
      <c r="O74" s="11" t="str">
        <f>IF(ISNUMBER($L74),"insert into M_CD_VAL_LANG values ("&amp;$L74&amp;", now(), 1, now(), 1, 0, '"&amp;MAX($G$3:$G74)&amp;"', '"&amp;$M74&amp;"', '"&amp;$N74&amp;"');","")</f>
        <v>insert into M_CD_VAL_LANG values (72, now(), 1, now(), 1, 0, '64', 'ja', '公園・キャンプ・海水浴場');</v>
      </c>
      <c r="P74" s="8"/>
      <c r="Q74" s="8"/>
    </row>
    <row r="75" spans="1:17" x14ac:dyDescent="0.15">
      <c r="A75" s="4">
        <f t="shared" si="4"/>
        <v>73</v>
      </c>
      <c r="B75" s="11" t="str">
        <f>IF(ISBLANK($C75),"",MAX($B$1:$B74)+1)</f>
        <v/>
      </c>
      <c r="C75" s="4"/>
      <c r="D75" s="4"/>
      <c r="E75" s="4"/>
      <c r="F75" s="11" t="str">
        <f t="shared" si="5"/>
        <v/>
      </c>
      <c r="G75" s="11">
        <f>IF(ISBLANK($H75),"",MAX($G$1:$G74)+1)</f>
        <v>65</v>
      </c>
      <c r="H75" s="4" t="s">
        <v>259</v>
      </c>
      <c r="I75" s="4" t="s">
        <v>258</v>
      </c>
      <c r="J75" s="4">
        <v>3</v>
      </c>
      <c r="K75" s="11" t="str">
        <f>IF(ISNUMBER($G75),"insert into M_CD_VAL values ("&amp;$G75&amp;", now(), 1, now(), 1, 0, '"&amp;MAX($B$3:$B75)&amp;"', '"&amp;$H75&amp;"', '"&amp;$I75&amp;"', "&amp;J75&amp;");","")</f>
        <v>insert into M_CD_VAL values (65, now(), 1, now(), 1, 0, '13', 'zogaraqm', 'ZooGardenAquarium', 3);</v>
      </c>
      <c r="L75" s="11">
        <f>IF(ISBLANK($M75),"",MAX($L$1:$L74)+1)</f>
        <v>73</v>
      </c>
      <c r="M75" s="4" t="s">
        <v>104</v>
      </c>
      <c r="N75" s="4" t="s">
        <v>257</v>
      </c>
      <c r="O75" s="11" t="str">
        <f>IF(ISNUMBER($L75),"insert into M_CD_VAL_LANG values ("&amp;$L75&amp;", now(), 1, now(), 1, 0, '"&amp;MAX($G$3:$G75)&amp;"', '"&amp;$M75&amp;"', '"&amp;$N75&amp;"');","")</f>
        <v>insert into M_CD_VAL_LANG values (73, now(), 1, now(), 1, 0, '65', 'ja', '動物園・植物園・水族館');</v>
      </c>
      <c r="P75" s="8"/>
      <c r="Q75" s="8"/>
    </row>
    <row r="76" spans="1:17" x14ac:dyDescent="0.15">
      <c r="A76" s="4">
        <f t="shared" si="4"/>
        <v>74</v>
      </c>
      <c r="B76" s="11" t="str">
        <f>IF(ISBLANK($C76),"",MAX($B$1:$B75)+1)</f>
        <v/>
      </c>
      <c r="C76" s="4"/>
      <c r="D76" s="4"/>
      <c r="E76" s="4"/>
      <c r="F76" s="11" t="str">
        <f t="shared" si="5"/>
        <v/>
      </c>
      <c r="G76" s="11">
        <f>IF(ISBLANK($H76),"",MAX($G$1:$G75)+1)</f>
        <v>66</v>
      </c>
      <c r="H76" s="4" t="s">
        <v>261</v>
      </c>
      <c r="I76" s="4" t="s">
        <v>260</v>
      </c>
      <c r="J76" s="4">
        <v>4</v>
      </c>
      <c r="K76" s="11" t="str">
        <f>IF(ISNUMBER($G76),"insert into M_CD_VAL values ("&amp;$G76&amp;", now(), 1, now(), 1, 0, '"&amp;MAX($B$3:$B76)&amp;"', '"&amp;$H76&amp;"', '"&amp;$I76&amp;"', "&amp;J76&amp;");","")</f>
        <v>insert into M_CD_VAL values (66, now(), 1, now(), 1, 0, '13', 'museum', 'Museum', 4);</v>
      </c>
      <c r="L76" s="11">
        <f>IF(ISBLANK($M76),"",MAX($L$1:$L75)+1)</f>
        <v>74</v>
      </c>
      <c r="M76" s="4" t="s">
        <v>104</v>
      </c>
      <c r="N76" s="4" t="s">
        <v>254</v>
      </c>
      <c r="O76" s="11" t="str">
        <f>IF(ISNUMBER($L76),"insert into M_CD_VAL_LANG values ("&amp;$L76&amp;", now(), 1, now(), 1, 0, '"&amp;MAX($G$3:$G76)&amp;"', '"&amp;$M76&amp;"', '"&amp;$N76&amp;"');","")</f>
        <v>insert into M_CD_VAL_LANG values (74, now(), 1, now(), 1, 0, '66', 'ja', '博物館・美術館');</v>
      </c>
      <c r="P76" s="8"/>
      <c r="Q76" s="8"/>
    </row>
    <row r="77" spans="1:17" x14ac:dyDescent="0.15">
      <c r="A77" s="4">
        <f t="shared" si="4"/>
        <v>75</v>
      </c>
      <c r="B77" s="11" t="str">
        <f>IF(ISBLANK($C77),"",MAX($B$1:$B76)+1)</f>
        <v/>
      </c>
      <c r="C77" s="4"/>
      <c r="D77" s="4"/>
      <c r="E77" s="4"/>
      <c r="F77" s="11" t="str">
        <f t="shared" si="5"/>
        <v/>
      </c>
      <c r="G77" s="11">
        <f>IF(ISBLANK($H77),"",MAX($G$1:$G76)+1)</f>
        <v>67</v>
      </c>
      <c r="H77" s="4" t="s">
        <v>247</v>
      </c>
      <c r="I77" s="4" t="s">
        <v>240</v>
      </c>
      <c r="J77" s="4">
        <v>5</v>
      </c>
      <c r="K77" s="11" t="str">
        <f>IF(ISNUMBER($G77),"insert into M_CD_VAL values ("&amp;$G77&amp;", now(), 1, now(), 1, 0, '"&amp;MAX($B$3:$B77)&amp;"', '"&amp;$H77&amp;"', '"&amp;$I77&amp;"', "&amp;J77&amp;");","")</f>
        <v>insert into M_CD_VAL values (67, now(), 1, now(), 1, 0, '13', 'exprence', 'ExperienceActivities', 5);</v>
      </c>
      <c r="L77" s="11">
        <f>IF(ISBLANK($M77),"",MAX($L$1:$L76)+1)</f>
        <v>75</v>
      </c>
      <c r="M77" s="4" t="s">
        <v>104</v>
      </c>
      <c r="N77" s="4" t="s">
        <v>233</v>
      </c>
      <c r="O77" s="11" t="str">
        <f>IF(ISNUMBER($L77),"insert into M_CD_VAL_LANG values ("&amp;$L77&amp;", now(), 1, now(), 1, 0, '"&amp;MAX($G$3:$G77)&amp;"', '"&amp;$M77&amp;"', '"&amp;$N77&amp;"');","")</f>
        <v>insert into M_CD_VAL_LANG values (75, now(), 1, now(), 1, 0, '67', 'ja', '体験型施設');</v>
      </c>
      <c r="P77" s="8"/>
      <c r="Q77" s="8"/>
    </row>
    <row r="78" spans="1:17" x14ac:dyDescent="0.15">
      <c r="A78" s="4">
        <f t="shared" si="4"/>
        <v>76</v>
      </c>
      <c r="B78" s="11" t="str">
        <f>IF(ISBLANK($C78),"",MAX($B$1:$B77)+1)</f>
        <v/>
      </c>
      <c r="C78" s="4"/>
      <c r="D78" s="4"/>
      <c r="E78" s="4"/>
      <c r="F78" s="11" t="str">
        <f t="shared" si="5"/>
        <v/>
      </c>
      <c r="G78" s="11">
        <f>IF(ISBLANK($H78),"",MAX($G$1:$G77)+1)</f>
        <v>68</v>
      </c>
      <c r="H78" s="4" t="s">
        <v>241</v>
      </c>
      <c r="I78" s="4" t="s">
        <v>245</v>
      </c>
      <c r="J78" s="4">
        <v>6</v>
      </c>
      <c r="K78" s="11" t="str">
        <f>IF(ISNUMBER($G78),"insert into M_CD_VAL values ("&amp;$G78&amp;", now(), 1, now(), 1, 0, '"&amp;MAX($B$3:$B78)&amp;"', '"&amp;$H78&amp;"', '"&amp;$I78&amp;"', "&amp;J78&amp;");","")</f>
        <v>insert into M_CD_VAL values (68, now(), 1, now(), 1, 0, '13', 'sports', 'SportsFacility', 6);</v>
      </c>
      <c r="L78" s="11">
        <f>IF(ISBLANK($M78),"",MAX($L$1:$L77)+1)</f>
        <v>76</v>
      </c>
      <c r="M78" s="4" t="s">
        <v>104</v>
      </c>
      <c r="N78" s="4" t="s">
        <v>231</v>
      </c>
      <c r="O78" s="11" t="str">
        <f>IF(ISNUMBER($L78),"insert into M_CD_VAL_LANG values ("&amp;$L78&amp;", now(), 1, now(), 1, 0, '"&amp;MAX($G$3:$G78)&amp;"', '"&amp;$M78&amp;"', '"&amp;$N78&amp;"');","")</f>
        <v>insert into M_CD_VAL_LANG values (76, now(), 1, now(), 1, 0, '68', 'ja', 'スポーツ施設');</v>
      </c>
      <c r="P78" s="8"/>
      <c r="Q78" s="8"/>
    </row>
    <row r="79" spans="1:17" x14ac:dyDescent="0.15">
      <c r="A79" s="4">
        <f t="shared" si="4"/>
        <v>77</v>
      </c>
      <c r="B79" s="11" t="str">
        <f>IF(ISBLANK($C79),"",MAX($B$1:$B78)+1)</f>
        <v/>
      </c>
      <c r="C79" s="4"/>
      <c r="D79" s="4"/>
      <c r="E79" s="4"/>
      <c r="F79" s="11" t="str">
        <f t="shared" si="5"/>
        <v/>
      </c>
      <c r="G79" s="11">
        <f>IF(ISBLANK($H79),"",MAX($G$1:$G78)+1)</f>
        <v>69</v>
      </c>
      <c r="H79" s="4" t="s">
        <v>242</v>
      </c>
      <c r="I79" s="4" t="s">
        <v>246</v>
      </c>
      <c r="J79" s="4">
        <v>7</v>
      </c>
      <c r="K79" s="11" t="str">
        <f>IF(ISNUMBER($G79),"insert into M_CD_VAL values ("&amp;$G79&amp;", now(), 1, now(), 1, 0, '"&amp;MAX($B$3:$B79)&amp;"', '"&amp;$H79&amp;"', '"&amp;$I79&amp;"', "&amp;J79&amp;");","")</f>
        <v>insert into M_CD_VAL values (69, now(), 1, now(), 1, 0, '13', 'entrtmnt', 'EntertainmentFacility', 7);</v>
      </c>
      <c r="L79" s="11">
        <f>IF(ISBLANK($M79),"",MAX($L$1:$L78)+1)</f>
        <v>77</v>
      </c>
      <c r="M79" s="4" t="s">
        <v>104</v>
      </c>
      <c r="N79" s="4" t="s">
        <v>235</v>
      </c>
      <c r="O79" s="11" t="str">
        <f>IF(ISNUMBER($L79),"insert into M_CD_VAL_LANG values ("&amp;$L79&amp;", now(), 1, now(), 1, 0, '"&amp;MAX($G$3:$G79)&amp;"', '"&amp;$M79&amp;"', '"&amp;$N79&amp;"');","")</f>
        <v>insert into M_CD_VAL_LANG values (77, now(), 1, now(), 1, 0, '69', 'ja', 'エンターテイメント施設');</v>
      </c>
      <c r="P79" s="8"/>
      <c r="Q79" s="8"/>
    </row>
    <row r="80" spans="1:17" x14ac:dyDescent="0.15">
      <c r="A80" s="4">
        <f t="shared" si="4"/>
        <v>78</v>
      </c>
      <c r="B80" s="11" t="str">
        <f>IF(ISBLANK($C80),"",MAX($B$1:$B79)+1)</f>
        <v/>
      </c>
      <c r="C80" s="4"/>
      <c r="D80" s="4"/>
      <c r="E80" s="4"/>
      <c r="F80" s="11" t="str">
        <f t="shared" si="5"/>
        <v/>
      </c>
      <c r="G80" s="11">
        <f>IF(ISBLANK($H80),"",MAX($G$1:$G79)+1)</f>
        <v>70</v>
      </c>
      <c r="H80" s="4" t="s">
        <v>244</v>
      </c>
      <c r="I80" s="4" t="s">
        <v>243</v>
      </c>
      <c r="J80" s="4">
        <v>8</v>
      </c>
      <c r="K80" s="11" t="str">
        <f>IF(ISNUMBER($G80),"insert into M_CD_VAL values ("&amp;$G80&amp;", now(), 1, now(), 1, 0, '"&amp;MAX($B$3:$B80)&amp;"', '"&amp;$H80&amp;"', '"&amp;$I80&amp;"', "&amp;J80&amp;");","")</f>
        <v>insert into M_CD_VAL values (70, now(), 1, now(), 1, 0, '13', 'gamble', 'Gamble', 8);</v>
      </c>
      <c r="L80" s="11">
        <f>IF(ISBLANK($M80),"",MAX($L$1:$L79)+1)</f>
        <v>78</v>
      </c>
      <c r="M80" s="4" t="s">
        <v>104</v>
      </c>
      <c r="N80" s="4" t="s">
        <v>232</v>
      </c>
      <c r="O80" s="11" t="str">
        <f>IF(ISNUMBER($L80),"insert into M_CD_VAL_LANG values ("&amp;$L80&amp;", now(), 1, now(), 1, 0, '"&amp;MAX($G$3:$G80)&amp;"', '"&amp;$M80&amp;"', '"&amp;$N80&amp;"');","")</f>
        <v>insert into M_CD_VAL_LANG values (78, now(), 1, now(), 1, 0, '70', 'ja', 'ギャンブル');</v>
      </c>
      <c r="P80" s="8"/>
      <c r="Q80" s="8"/>
    </row>
    <row r="81" spans="1:17" x14ac:dyDescent="0.15">
      <c r="A81" s="4">
        <f t="shared" si="4"/>
        <v>79</v>
      </c>
      <c r="B81" s="11" t="str">
        <f>IF(ISBLANK($C81),"",MAX($B$1:$B80)+1)</f>
        <v/>
      </c>
      <c r="C81" s="4"/>
      <c r="D81" s="4"/>
      <c r="E81" s="4"/>
      <c r="F81" s="11" t="str">
        <f t="shared" si="5"/>
        <v/>
      </c>
      <c r="G81" s="11">
        <f>IF(ISBLANK($H81),"",MAX($G$1:$G80)+1)</f>
        <v>71</v>
      </c>
      <c r="H81" s="4" t="s">
        <v>132</v>
      </c>
      <c r="I81" s="4" t="s">
        <v>130</v>
      </c>
      <c r="J81" s="4">
        <v>9</v>
      </c>
      <c r="K81" s="11" t="str">
        <f>IF(ISNUMBER($G81),"insert into M_CD_VAL values ("&amp;$G81&amp;", now(), 1, now(), 1, 0, '"&amp;MAX($B$3:$B81)&amp;"', '"&amp;$H81&amp;"', '"&amp;$I81&amp;"', "&amp;J81&amp;");","")</f>
        <v>insert into M_CD_VAL values (71, now(), 1, now(), 1, 0, '13', 'other', 'Other', 9);</v>
      </c>
      <c r="L81" s="11">
        <f>IF(ISBLANK($M81),"",MAX($L$1:$L80)+1)</f>
        <v>79</v>
      </c>
      <c r="M81" s="4" t="s">
        <v>104</v>
      </c>
      <c r="N81" s="4" t="s">
        <v>124</v>
      </c>
      <c r="O81" s="11" t="str">
        <f>IF(ISNUMBER($L81),"insert into M_CD_VAL_LANG values ("&amp;$L81&amp;", now(), 1, now(), 1, 0, '"&amp;MAX($G$3:$G81)&amp;"', '"&amp;$M81&amp;"', '"&amp;$N81&amp;"');","")</f>
        <v>insert into M_CD_VAL_LANG values (79, now(), 1, now(), 1, 0, '71', 'ja', 'その他');</v>
      </c>
      <c r="P81" s="8"/>
      <c r="Q81" s="8"/>
    </row>
    <row r="82" spans="1:17" x14ac:dyDescent="0.15">
      <c r="A82" s="4">
        <f t="shared" si="4"/>
        <v>80</v>
      </c>
      <c r="B82" s="11">
        <f>IF(ISBLANK($C82),"",MAX($B$1:$B81)+1)</f>
        <v>14</v>
      </c>
      <c r="C82" s="4" t="s">
        <v>121</v>
      </c>
      <c r="D82" s="4" t="s">
        <v>122</v>
      </c>
      <c r="E82" s="4"/>
      <c r="F82" s="11" t="str">
        <f t="shared" si="5"/>
        <v>insert into M_CD_GRP values (14, now(), 1, now(), 1, 0, 'StayGenre', '泊まるジャンル', '');</v>
      </c>
      <c r="G82" s="11">
        <f>IF(ISBLANK($H82),"",MAX($G$1:$G81)+1)</f>
        <v>72</v>
      </c>
      <c r="H82" s="4" t="s">
        <v>253</v>
      </c>
      <c r="I82" s="4" t="s">
        <v>250</v>
      </c>
      <c r="J82" s="4">
        <v>1</v>
      </c>
      <c r="K82" s="11" t="str">
        <f>IF(ISNUMBER($G82),"insert into M_CD_VAL values ("&amp;$G82&amp;", now(), 1, now(), 1, 0, '"&amp;MAX($B$3:$B82)&amp;"', '"&amp;$H82&amp;"', '"&amp;$I82&amp;"', "&amp;J82&amp;");","")</f>
        <v>insert into M_CD_VAL values (72, now(), 1, now(), 1, 0, '14', 'hotel', 'Hotel', 1);</v>
      </c>
      <c r="L82" s="11">
        <f>IF(ISBLANK($M82),"",MAX($L$1:$L81)+1)</f>
        <v>80</v>
      </c>
      <c r="M82" s="4" t="s">
        <v>104</v>
      </c>
      <c r="N82" s="4" t="s">
        <v>125</v>
      </c>
      <c r="O82" s="11" t="str">
        <f>IF(ISNUMBER($L82),"insert into M_CD_VAL_LANG values ("&amp;$L82&amp;", now(), 1, now(), 1, 0, '"&amp;MAX($G$3:$G82)&amp;"', '"&amp;$M82&amp;"', '"&amp;$N82&amp;"');","")</f>
        <v>insert into M_CD_VAL_LANG values (80, now(), 1, now(), 1, 0, '72', 'ja', 'ホテル');</v>
      </c>
      <c r="P82" s="8"/>
      <c r="Q82" s="8"/>
    </row>
    <row r="83" spans="1:17" x14ac:dyDescent="0.15">
      <c r="A83" s="4">
        <f t="shared" si="4"/>
        <v>81</v>
      </c>
      <c r="B83" s="11" t="str">
        <f>IF(ISBLANK($C83),"",MAX($B$1:$B82)+1)</f>
        <v/>
      </c>
      <c r="C83" s="4"/>
      <c r="D83" s="4"/>
      <c r="E83" s="4"/>
      <c r="F83" s="11" t="str">
        <f t="shared" si="5"/>
        <v/>
      </c>
      <c r="G83" s="11">
        <f>IF(ISBLANK($H83),"",MAX($G$1:$G82)+1)</f>
        <v>73</v>
      </c>
      <c r="H83" s="4" t="s">
        <v>252</v>
      </c>
      <c r="I83" s="4" t="s">
        <v>251</v>
      </c>
      <c r="J83" s="4">
        <v>2</v>
      </c>
      <c r="K83" s="11" t="str">
        <f>IF(ISNUMBER($G83),"insert into M_CD_VAL values ("&amp;$G83&amp;", now(), 1, now(), 1, 0, '"&amp;MAX($B$3:$B83)&amp;"', '"&amp;$H83&amp;"', '"&amp;$I83&amp;"', "&amp;J83&amp;");","")</f>
        <v>insert into M_CD_VAL values (73, now(), 1, now(), 1, 0, '14', 'jpnshtl', 'JapaneseHotel', 2);</v>
      </c>
      <c r="L83" s="11">
        <f>IF(ISBLANK($M83),"",MAX($L$1:$L82)+1)</f>
        <v>81</v>
      </c>
      <c r="M83" s="4" t="s">
        <v>104</v>
      </c>
      <c r="N83" s="4" t="s">
        <v>126</v>
      </c>
      <c r="O83" s="11" t="str">
        <f>IF(ISNUMBER($L83),"insert into M_CD_VAL_LANG values ("&amp;$L83&amp;", now(), 1, now(), 1, 0, '"&amp;MAX($G$3:$G83)&amp;"', '"&amp;$M83&amp;"', '"&amp;$N83&amp;"');","")</f>
        <v>insert into M_CD_VAL_LANG values (81, now(), 1, now(), 1, 0, '73', 'ja', '旅館');</v>
      </c>
      <c r="P83" s="8"/>
      <c r="Q83" s="8"/>
    </row>
    <row r="84" spans="1:17" x14ac:dyDescent="0.15">
      <c r="A84" s="4">
        <f t="shared" si="4"/>
        <v>82</v>
      </c>
      <c r="B84" s="11" t="str">
        <f>IF(ISBLANK($C84),"",MAX($B$1:$B83)+1)</f>
        <v/>
      </c>
      <c r="C84" s="4"/>
      <c r="D84" s="4"/>
      <c r="E84" s="4"/>
      <c r="F84" s="11" t="str">
        <f t="shared" si="5"/>
        <v/>
      </c>
      <c r="G84" s="11">
        <f>IF(ISBLANK($H84),"",MAX($G$1:$G83)+1)</f>
        <v>74</v>
      </c>
      <c r="H84" s="4" t="s">
        <v>249</v>
      </c>
      <c r="I84" s="4" t="s">
        <v>248</v>
      </c>
      <c r="J84" s="4">
        <v>3</v>
      </c>
      <c r="K84" s="11" t="str">
        <f>IF(ISNUMBER($G84),"insert into M_CD_VAL values ("&amp;$G84&amp;", now(), 1, now(), 1, 0, '"&amp;MAX($B$3:$B84)&amp;"', '"&amp;$H84&amp;"', '"&amp;$I84&amp;"', "&amp;J84&amp;");","")</f>
        <v>insert into M_CD_VAL values (74, now(), 1, now(), 1, 0, '14', 'capslhtl', 'CapsulHotel', 3);</v>
      </c>
      <c r="L84" s="11">
        <f>IF(ISBLANK($M84),"",MAX($L$1:$L83)+1)</f>
        <v>82</v>
      </c>
      <c r="M84" s="4" t="s">
        <v>104</v>
      </c>
      <c r="N84" s="4" t="s">
        <v>127</v>
      </c>
      <c r="O84" s="11" t="str">
        <f>IF(ISNUMBER($L84),"insert into M_CD_VAL_LANG values ("&amp;$L84&amp;", now(), 1, now(), 1, 0, '"&amp;MAX($G$3:$G84)&amp;"', '"&amp;$M84&amp;"', '"&amp;$N84&amp;"');","")</f>
        <v>insert into M_CD_VAL_LANG values (82, now(), 1, now(), 1, 0, '74', 'ja', 'カプセルホテル');</v>
      </c>
      <c r="P84" s="8"/>
      <c r="Q84" s="8"/>
    </row>
    <row r="85" spans="1:17" x14ac:dyDescent="0.15">
      <c r="A85" s="4">
        <f t="shared" si="4"/>
        <v>83</v>
      </c>
      <c r="B85" s="11" t="str">
        <f>IF(ISBLANK($C85),"",MAX($B$1:$B84)+1)</f>
        <v/>
      </c>
      <c r="C85" s="4"/>
      <c r="D85" s="4"/>
      <c r="E85" s="4"/>
      <c r="F85" s="11" t="str">
        <f t="shared" si="5"/>
        <v/>
      </c>
      <c r="G85" s="11">
        <f>IF(ISBLANK($H85),"",MAX($G$1:$G84)+1)</f>
        <v>75</v>
      </c>
      <c r="H85" s="4" t="s">
        <v>132</v>
      </c>
      <c r="I85" s="4" t="s">
        <v>130</v>
      </c>
      <c r="J85" s="4">
        <v>4</v>
      </c>
      <c r="K85" s="11" t="str">
        <f>IF(ISNUMBER($G85),"insert into M_CD_VAL values ("&amp;$G85&amp;", now(), 1, now(), 1, 0, '"&amp;MAX($B$3:$B85)&amp;"', '"&amp;$H85&amp;"', '"&amp;$I85&amp;"', "&amp;J85&amp;");","")</f>
        <v>insert into M_CD_VAL values (75, now(), 1, now(), 1, 0, '14', 'other', 'Other', 4);</v>
      </c>
      <c r="L85" s="11">
        <f>IF(ISBLANK($M85),"",MAX($L$1:$L84)+1)</f>
        <v>83</v>
      </c>
      <c r="M85" s="4" t="s">
        <v>104</v>
      </c>
      <c r="N85" s="4" t="s">
        <v>124</v>
      </c>
      <c r="O85" s="11" t="str">
        <f>IF(ISNUMBER($L85),"insert into M_CD_VAL_LANG values ("&amp;$L85&amp;", now(), 1, now(), 1, 0, '"&amp;MAX($G$3:$G85)&amp;"', '"&amp;$M85&amp;"', '"&amp;$N85&amp;"');","")</f>
        <v>insert into M_CD_VAL_LANG values (83, now(), 1, now(), 1, 0, '75', 'ja', 'その他');</v>
      </c>
      <c r="P85" s="8"/>
      <c r="Q85" s="8"/>
    </row>
    <row r="86" spans="1:17" x14ac:dyDescent="0.15">
      <c r="A86" s="4">
        <f t="shared" si="4"/>
        <v>84</v>
      </c>
      <c r="B86" s="11">
        <f>IF(ISBLANK($C86),"",MAX($B$1:$B85)+1)</f>
        <v>15</v>
      </c>
      <c r="C86" s="4" t="s">
        <v>128</v>
      </c>
      <c r="D86" s="4" t="s">
        <v>129</v>
      </c>
      <c r="E86" s="4"/>
      <c r="F86" s="11" t="str">
        <f t="shared" si="5"/>
        <v>insert into M_CD_GRP values (15, now(), 1, now(), 1, 0, 'EventGenre', 'イベントジャンル', '');</v>
      </c>
      <c r="G86" s="11">
        <f>IF(ISBLANK($H86),"",MAX($G$1:$G85)+1)</f>
        <v>76</v>
      </c>
      <c r="H86" s="4" t="s">
        <v>267</v>
      </c>
      <c r="I86" s="4" t="s">
        <v>266</v>
      </c>
      <c r="J86" s="4">
        <v>1</v>
      </c>
      <c r="K86" s="11" t="str">
        <f>IF(ISNUMBER($G86),"insert into M_CD_VAL values ("&amp;$G86&amp;", now(), 1, now(), 1, 0, '"&amp;MAX($B$3:$B86)&amp;"', '"&amp;$H86&amp;"', '"&amp;$I86&amp;"', "&amp;J86&amp;");","")</f>
        <v>insert into M_CD_VAL values (76, now(), 1, now(), 1, 0, '15', 'festfire', 'FestivalFireworks', 1);</v>
      </c>
      <c r="L86" s="11">
        <f>IF(ISBLANK($M86),"",MAX($L$1:$L85)+1)</f>
        <v>84</v>
      </c>
      <c r="M86" s="4" t="s">
        <v>104</v>
      </c>
      <c r="N86" s="4" t="s">
        <v>265</v>
      </c>
      <c r="O86" s="11" t="str">
        <f>IF(ISNUMBER($L86),"insert into M_CD_VAL_LANG values ("&amp;$L86&amp;", now(), 1, now(), 1, 0, '"&amp;MAX($G$3:$G86)&amp;"', '"&amp;$M86&amp;"', '"&amp;$N86&amp;"');","")</f>
        <v>insert into M_CD_VAL_LANG values (84, now(), 1, now(), 1, 0, '76', 'ja', 'お祭り・花火');</v>
      </c>
      <c r="P86" s="8"/>
      <c r="Q86" s="8"/>
    </row>
    <row r="87" spans="1:17" x14ac:dyDescent="0.15">
      <c r="A87" s="4">
        <f t="shared" si="4"/>
        <v>85</v>
      </c>
      <c r="B87" s="11" t="str">
        <f>IF(ISBLANK($C87),"",MAX($B$1:$B86)+1)</f>
        <v/>
      </c>
      <c r="C87" s="4"/>
      <c r="D87" s="4"/>
      <c r="E87" s="4"/>
      <c r="F87" s="11" t="str">
        <f t="shared" si="5"/>
        <v/>
      </c>
      <c r="G87" s="11">
        <f>IF(ISBLANK($H87),"",MAX($G$1:$G86)+1)</f>
        <v>77</v>
      </c>
      <c r="H87" s="4" t="s">
        <v>132</v>
      </c>
      <c r="I87" s="4" t="s">
        <v>130</v>
      </c>
      <c r="J87" s="4">
        <v>2</v>
      </c>
      <c r="K87" s="11" t="str">
        <f>IF(ISNUMBER($G87),"insert into M_CD_VAL values ("&amp;$G87&amp;", now(), 1, now(), 1, 0, '"&amp;MAX($B$3:$B87)&amp;"', '"&amp;$H87&amp;"', '"&amp;$I87&amp;"', "&amp;J87&amp;");","")</f>
        <v>insert into M_CD_VAL values (77, now(), 1, now(), 1, 0, '15', 'other', 'Other', 2);</v>
      </c>
      <c r="L87" s="11">
        <f>IF(ISBLANK($M87),"",MAX($L$1:$L86)+1)</f>
        <v>85</v>
      </c>
      <c r="M87" s="4" t="s">
        <v>104</v>
      </c>
      <c r="N87" s="4" t="s">
        <v>123</v>
      </c>
      <c r="O87" s="11" t="str">
        <f>IF(ISNUMBER($L87),"insert into M_CD_VAL_LANG values ("&amp;$L87&amp;", now(), 1, now(), 1, 0, '"&amp;MAX($G$3:$G87)&amp;"', '"&amp;$M87&amp;"', '"&amp;$N87&amp;"');","")</f>
        <v>insert into M_CD_VAL_LANG values (85, now(), 1, now(), 1, 0, '77', 'ja', 'その他');</v>
      </c>
    </row>
  </sheetData>
  <phoneticPr fontId="1"/>
  <conditionalFormatting sqref="A3:A87 L3:O87">
    <cfRule type="expression" dxfId="5" priority="6">
      <formula>ISNUMBER($L3)</formula>
    </cfRule>
    <cfRule type="expression" dxfId="4" priority="5" stopIfTrue="1">
      <formula>ISNUMBER($B3)</formula>
    </cfRule>
  </conditionalFormatting>
  <conditionalFormatting sqref="G3:K87">
    <cfRule type="expression" dxfId="3" priority="4" stopIfTrue="1">
      <formula>ISNUMBER($G3)</formula>
    </cfRule>
    <cfRule type="expression" dxfId="2" priority="3" stopIfTrue="1">
      <formula>ISNUMBER($B3)</formula>
    </cfRule>
  </conditionalFormatting>
  <conditionalFormatting sqref="B3:F87">
    <cfRule type="expression" dxfId="1" priority="2" stopIfTrue="1">
      <formula>ISNUMBER($B3)</formula>
    </cfRule>
  </conditionalFormatting>
  <conditionalFormatting sqref="A3:O88">
    <cfRule type="expression" dxfId="0" priority="1" stopIfTrue="1">
      <formula>AND(ISNUMBER($L2),NOT(ISNUMBER($L3)))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tFormat">
                <anchor moveWithCells="1" sizeWithCells="1">
                  <from>
                    <xdr:col>15</xdr:col>
                    <xdr:colOff>47625</xdr:colOff>
                    <xdr:row>0</xdr:row>
                    <xdr:rowOff>47625</xdr:rowOff>
                  </from>
                  <to>
                    <xdr:col>18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コード一覧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中島 潤</dc:creator>
  <cp:lastModifiedBy>中島 潤</cp:lastModifiedBy>
  <dcterms:created xsi:type="dcterms:W3CDTF">2015-01-14T09:33:18Z</dcterms:created>
  <dcterms:modified xsi:type="dcterms:W3CDTF">2015-02-13T08:10:03Z</dcterms:modified>
</cp:coreProperties>
</file>